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ebrity Birth Data" sheetId="1" state="visible" r:id="rId3"/>
    <sheet name="Summary" sheetId="2" state="visible" r:id="rId4"/>
    <sheet name="Sources &amp; Methodology" sheetId="3" state="visible" r:id="rId5"/>
  </sheets>
  <definedNames>
    <definedName function="false" hidden="true" localSheetId="0" name="_xlnm._FilterDatabase" vbProcedure="false">'Celebrity Birth Data'!$A$1:$O$1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<sst xmlns="http://schemas.openxmlformats.org/spreadsheetml/2006/main" count="1169" uniqueCount="563">
  <si>
    <t xml:space="preserve">S.No</t>
  </si>
  <si>
    <t xml:space="preserve">Full Name</t>
  </si>
  <si>
    <t xml:space="preserve">Category</t>
  </si>
  <si>
    <t xml:space="preserve">Date of Birth</t>
  </si>
  <si>
    <t xml:space="preserve">Time of Birth</t>
  </si>
  <si>
    <t xml:space="preserve">Place of Birth</t>
  </si>
  <si>
    <t xml:space="preserve">State</t>
  </si>
  <si>
    <t xml:space="preserve">Latitude</t>
  </si>
  <si>
    <t xml:space="preserve">Longitude</t>
  </si>
  <si>
    <t xml:space="preserve">Timezone</t>
  </si>
  <si>
    <t xml:space="preserve">TZ Offset (hrs)</t>
  </si>
  <si>
    <t xml:space="preserve">Gender</t>
  </si>
  <si>
    <t xml:space="preserve">Source Confidence</t>
  </si>
  <si>
    <t xml:space="preserve">Primary Source</t>
  </si>
  <si>
    <t xml:space="preserve">Notes</t>
  </si>
  <si>
    <t xml:space="preserve">Amitabh Bachchan</t>
  </si>
  <si>
    <t xml:space="preserve">Bollywood Actor</t>
  </si>
  <si>
    <t xml:space="preserve">1942-10-11</t>
  </si>
  <si>
    <t xml:space="preserve">16:00</t>
  </si>
  <si>
    <t xml:space="preserve">Allahabad</t>
  </si>
  <si>
    <t xml:space="preserve">Uttar Pradesh</t>
  </si>
  <si>
    <t xml:space="preserve">IST</t>
  </si>
  <si>
    <t xml:space="preserve">M</t>
  </si>
  <si>
    <t xml:space="preserve">A</t>
  </si>
  <si>
    <t xml:space="preserve">AstroSage/GrahaSutra/Astro-Databank</t>
  </si>
  <si>
    <t xml:space="preserve">Shahenshah of Bollywood; Aquarius Asc</t>
  </si>
  <si>
    <t xml:space="preserve">Shah Rukh Khan</t>
  </si>
  <si>
    <t xml:space="preserve">1965-11-02</t>
  </si>
  <si>
    <t xml:space="preserve">02:30</t>
  </si>
  <si>
    <t xml:space="preserve">New Delhi</t>
  </si>
  <si>
    <t xml:space="preserve">Delhi</t>
  </si>
  <si>
    <t xml:space="preserve">AstroSage/Multiple astrologers</t>
  </si>
  <si>
    <t xml:space="preserve">King of Bollywood; Leo Moon</t>
  </si>
  <si>
    <t xml:space="preserve">Salman Khan</t>
  </si>
  <si>
    <t xml:space="preserve">1965-12-27</t>
  </si>
  <si>
    <t xml:space="preserve">14:30</t>
  </si>
  <si>
    <t xml:space="preserve">Indore</t>
  </si>
  <si>
    <t xml:space="preserve">Madhya Pradesh</t>
  </si>
  <si>
    <t xml:space="preserve">B</t>
  </si>
  <si>
    <t xml:space="preserve">AstroSage Celebrity DB</t>
  </si>
  <si>
    <t xml:space="preserve">Bhai of Bollywood</t>
  </si>
  <si>
    <t xml:space="preserve">Aamir Khan</t>
  </si>
  <si>
    <t xml:space="preserve">1965-03-14</t>
  </si>
  <si>
    <t xml:space="preserve">07:45</t>
  </si>
  <si>
    <t xml:space="preserve">Mumbai</t>
  </si>
  <si>
    <t xml:space="preserve">Maharashtra</t>
  </si>
  <si>
    <t xml:space="preserve">AstroSage/GrahaSutra</t>
  </si>
  <si>
    <t xml:space="preserve">Mr. Perfectionist</t>
  </si>
  <si>
    <t xml:space="preserve">Hrithik Roshan</t>
  </si>
  <si>
    <t xml:space="preserve">1974-01-10</t>
  </si>
  <si>
    <t xml:space="preserve">00:30</t>
  </si>
  <si>
    <t xml:space="preserve">AstroSage/Multiple sources</t>
  </si>
  <si>
    <t xml:space="preserve">Greek God of Bollywood</t>
  </si>
  <si>
    <t xml:space="preserve">Akshay Kumar</t>
  </si>
  <si>
    <t xml:space="preserve">1967-09-09</t>
  </si>
  <si>
    <t xml:space="preserve">05:30</t>
  </si>
  <si>
    <t xml:space="preserve">Amritsar</t>
  </si>
  <si>
    <t xml:space="preserve">Punjab</t>
  </si>
  <si>
    <t xml:space="preserve">Khiladi Kumar; born Rajiv Hari Om Bhatia</t>
  </si>
  <si>
    <t xml:space="preserve">Ranveer Singh</t>
  </si>
  <si>
    <t xml:space="preserve">1985-07-06</t>
  </si>
  <si>
    <t xml:space="preserve">02:45</t>
  </si>
  <si>
    <t xml:space="preserve">High-energy performer</t>
  </si>
  <si>
    <t xml:space="preserve">Ranbir Kapoor</t>
  </si>
  <si>
    <t xml:space="preserve">1982-09-28</t>
  </si>
  <si>
    <t xml:space="preserve">14:00</t>
  </si>
  <si>
    <t xml:space="preserve">Kapoor dynasty</t>
  </si>
  <si>
    <t xml:space="preserve">Rajinikanth</t>
  </si>
  <si>
    <t xml:space="preserve">Tamil Actor</t>
  </si>
  <si>
    <t xml:space="preserve">1950-12-12</t>
  </si>
  <si>
    <t xml:space="preserve">15:10</t>
  </si>
  <si>
    <t xml:space="preserve">Bangalore</t>
  </si>
  <si>
    <t xml:space="preserve">Karnataka</t>
  </si>
  <si>
    <t xml:space="preserve">AstroSage/Multiple Tamil astrologers</t>
  </si>
  <si>
    <t xml:space="preserve">Superstar; born Shivaji Rao Gaekwad</t>
  </si>
  <si>
    <t xml:space="preserve">Kamal Haasan</t>
  </si>
  <si>
    <t xml:space="preserve">1954-11-07</t>
  </si>
  <si>
    <t xml:space="preserve">22:10</t>
  </si>
  <si>
    <t xml:space="preserve">Paramakudi</t>
  </si>
  <si>
    <t xml:space="preserve">Tamil Nadu</t>
  </si>
  <si>
    <t xml:space="preserve">Ulaganayagan</t>
  </si>
  <si>
    <t xml:space="preserve">Ajay Devgn</t>
  </si>
  <si>
    <t xml:space="preserve">1969-04-02</t>
  </si>
  <si>
    <t xml:space="preserve">10:25</t>
  </si>
  <si>
    <t xml:space="preserve">Born Vishal Veeru Devgan</t>
  </si>
  <si>
    <t xml:space="preserve">Sunny Deol</t>
  </si>
  <si>
    <t xml:space="preserve">1956-10-19</t>
  </si>
  <si>
    <t xml:space="preserve">04:15</t>
  </si>
  <si>
    <t xml:space="preserve">Sahnewal</t>
  </si>
  <si>
    <t xml:space="preserve">Born Ajay Singh Deol</t>
  </si>
  <si>
    <t xml:space="preserve">Sanjay Dutt</t>
  </si>
  <si>
    <t xml:space="preserve">1959-07-29</t>
  </si>
  <si>
    <t xml:space="preserve">14:50</t>
  </si>
  <si>
    <t xml:space="preserve">Munna Bhai</t>
  </si>
  <si>
    <t xml:space="preserve">Tiger Shroff</t>
  </si>
  <si>
    <t xml:space="preserve">1990-03-02</t>
  </si>
  <si>
    <t xml:space="preserve">12:00</t>
  </si>
  <si>
    <t xml:space="preserve">C</t>
  </si>
  <si>
    <t xml:space="preserve">GrahaSutra</t>
  </si>
  <si>
    <t xml:space="preserve">Action star; son of Jackie Shroff</t>
  </si>
  <si>
    <t xml:space="preserve">Kartik Aaryan</t>
  </si>
  <si>
    <t xml:space="preserve">1990-11-22</t>
  </si>
  <si>
    <t xml:space="preserve">06:00</t>
  </si>
  <si>
    <t xml:space="preserve">Gwalior</t>
  </si>
  <si>
    <t xml:space="preserve">New-gen star</t>
  </si>
  <si>
    <t xml:space="preserve">Sidharth Malhotra</t>
  </si>
  <si>
    <t xml:space="preserve">1985-01-16</t>
  </si>
  <si>
    <t xml:space="preserve">11:30</t>
  </si>
  <si>
    <t xml:space="preserve">Student of the Year fame</t>
  </si>
  <si>
    <t xml:space="preserve">Abhishek Bachchan</t>
  </si>
  <si>
    <t xml:space="preserve">1976-02-05</t>
  </si>
  <si>
    <t xml:space="preserve">12:35</t>
  </si>
  <si>
    <t xml:space="preserve">Junior Bachchan</t>
  </si>
  <si>
    <t xml:space="preserve">Shahid Kapoor</t>
  </si>
  <si>
    <t xml:space="preserve">1981-02-25</t>
  </si>
  <si>
    <t xml:space="preserve">15:45</t>
  </si>
  <si>
    <t xml:space="preserve">Jab We Met fame</t>
  </si>
  <si>
    <t xml:space="preserve">Varun Dhawan</t>
  </si>
  <si>
    <t xml:space="preserve">1987-04-24</t>
  </si>
  <si>
    <t xml:space="preserve">11:00</t>
  </si>
  <si>
    <t xml:space="preserve">Son of David Dhawan</t>
  </si>
  <si>
    <t xml:space="preserve">Vicky Kaushal</t>
  </si>
  <si>
    <t xml:space="preserve">1988-05-16</t>
  </si>
  <si>
    <t xml:space="preserve">09:00</t>
  </si>
  <si>
    <t xml:space="preserve">Uri fame</t>
  </si>
  <si>
    <t xml:space="preserve">Aishwarya Rai Bachchan</t>
  </si>
  <si>
    <t xml:space="preserve">Bollywood Actress</t>
  </si>
  <si>
    <t xml:space="preserve">1973-11-01</t>
  </si>
  <si>
    <t xml:space="preserve">05:15</t>
  </si>
  <si>
    <t xml:space="preserve">Mangalore</t>
  </si>
  <si>
    <t xml:space="preserve">F</t>
  </si>
  <si>
    <t xml:space="preserve">AstroSage/Astro-Databank</t>
  </si>
  <si>
    <t xml:space="preserve">Miss World 1994; Scorpio Asc</t>
  </si>
  <si>
    <t xml:space="preserve">Deepika Padukone</t>
  </si>
  <si>
    <t xml:space="preserve">1986-01-05</t>
  </si>
  <si>
    <t xml:space="preserve">13:09</t>
  </si>
  <si>
    <t xml:space="preserve">Copenhagen</t>
  </si>
  <si>
    <t xml:space="preserve">Denmark</t>
  </si>
  <si>
    <t xml:space="preserve">CET</t>
  </si>
  <si>
    <t xml:space="preserve">Born in Denmark, raised in Bangalore</t>
  </si>
  <si>
    <t xml:space="preserve">Priyanka Chopra</t>
  </si>
  <si>
    <t xml:space="preserve">1982-07-18</t>
  </si>
  <si>
    <t xml:space="preserve">01:30</t>
  </si>
  <si>
    <t xml:space="preserve">Jamshedpur</t>
  </si>
  <si>
    <t xml:space="preserve">Jharkhand</t>
  </si>
  <si>
    <t xml:space="preserve">Miss World 2000; global star</t>
  </si>
  <si>
    <t xml:space="preserve">Katrina Kaif</t>
  </si>
  <si>
    <t xml:space="preserve">1983-07-16</t>
  </si>
  <si>
    <t xml:space="preserve">06:30</t>
  </si>
  <si>
    <t xml:space="preserve">Hong Kong</t>
  </si>
  <si>
    <t xml:space="preserve">HKT</t>
  </si>
  <si>
    <t xml:space="preserve">Born in Hong Kong, British-Indian</t>
  </si>
  <si>
    <t xml:space="preserve">Kareena Kapoor Khan</t>
  </si>
  <si>
    <t xml:space="preserve">1980-09-21</t>
  </si>
  <si>
    <t xml:space="preserve">Bebo; Kapoor family</t>
  </si>
  <si>
    <t xml:space="preserve">Kangana Ranaut</t>
  </si>
  <si>
    <t xml:space="preserve">1987-03-23</t>
  </si>
  <si>
    <t xml:space="preserve">Bhambla, Mandi</t>
  </si>
  <si>
    <t xml:space="preserve">Himachal Pradesh</t>
  </si>
  <si>
    <t xml:space="preserve">Queen of Bollywood; now politician</t>
  </si>
  <si>
    <t xml:space="preserve">Madhuri Dixit</t>
  </si>
  <si>
    <t xml:space="preserve">1967-05-15</t>
  </si>
  <si>
    <t xml:space="preserve">01:07</t>
  </si>
  <si>
    <t xml:space="preserve">Dhak Dhak girl</t>
  </si>
  <si>
    <t xml:space="preserve">Rekha</t>
  </si>
  <si>
    <t xml:space="preserve">1954-10-10</t>
  </si>
  <si>
    <t xml:space="preserve">Chennai</t>
  </si>
  <si>
    <t xml:space="preserve">Bhanurekha Ganesan</t>
  </si>
  <si>
    <t xml:space="preserve">Vidya Balan</t>
  </si>
  <si>
    <t xml:space="preserve">1978-01-01</t>
  </si>
  <si>
    <t xml:space="preserve">01:40</t>
  </si>
  <si>
    <t xml:space="preserve">The Dirty Picture fame</t>
  </si>
  <si>
    <t xml:space="preserve">Preity Zinta</t>
  </si>
  <si>
    <t xml:space="preserve">1975-01-31</t>
  </si>
  <si>
    <t xml:space="preserve">Shimla</t>
  </si>
  <si>
    <t xml:space="preserve">Dimple queen</t>
  </si>
  <si>
    <t xml:space="preserve">Juhi Chawla</t>
  </si>
  <si>
    <t xml:space="preserve">1967-11-13</t>
  </si>
  <si>
    <t xml:space="preserve">22:30</t>
  </si>
  <si>
    <t xml:space="preserve">Ludhiana</t>
  </si>
  <si>
    <t xml:space="preserve">Miss India 1984</t>
  </si>
  <si>
    <t xml:space="preserve">Sara Ali Khan</t>
  </si>
  <si>
    <t xml:space="preserve">1995-08-12</t>
  </si>
  <si>
    <t xml:space="preserve">Daughter of Saif &amp; Amrita</t>
  </si>
  <si>
    <t xml:space="preserve">Taapsee Pannu</t>
  </si>
  <si>
    <t xml:space="preserve">1987-08-01</t>
  </si>
  <si>
    <t xml:space="preserve">Thappad fame</t>
  </si>
  <si>
    <t xml:space="preserve">Kajol</t>
  </si>
  <si>
    <t xml:space="preserve">1974-08-05</t>
  </si>
  <si>
    <t xml:space="preserve">23:00</t>
  </si>
  <si>
    <t xml:space="preserve">DDLJ icon; Mukherjee family</t>
  </si>
  <si>
    <t xml:space="preserve">Alia Bhatt</t>
  </si>
  <si>
    <t xml:space="preserve">1993-03-15</t>
  </si>
  <si>
    <t xml:space="preserve">04:20</t>
  </si>
  <si>
    <t xml:space="preserve">Daughter of Mahesh Bhatt</t>
  </si>
  <si>
    <t xml:space="preserve">Narendra Modi</t>
  </si>
  <si>
    <t xml:space="preserve">Politician</t>
  </si>
  <si>
    <t xml:space="preserve">1950-09-17</t>
  </si>
  <si>
    <t xml:space="preserve">Vadnagar</t>
  </si>
  <si>
    <t xml:space="preserve">Gujarat</t>
  </si>
  <si>
    <t xml:space="preserve">AstroSage/Astro-Databank/Multiple</t>
  </si>
  <si>
    <t xml:space="preserve">PM of India; Scorpio Asc per AstroSage. 09:35 per Astro-Databank</t>
  </si>
  <si>
    <t xml:space="preserve">Jawaharlal Nehru</t>
  </si>
  <si>
    <t xml:space="preserve">1889-11-14</t>
  </si>
  <si>
    <t xml:space="preserve">23:36</t>
  </si>
  <si>
    <t xml:space="preserve">Astro-Databank (AA rating)</t>
  </si>
  <si>
    <t xml:space="preserve">First PM of India</t>
  </si>
  <si>
    <t xml:space="preserve">Indira Gandhi</t>
  </si>
  <si>
    <t xml:space="preserve">1917-11-19</t>
  </si>
  <si>
    <t xml:space="preserve">23:03</t>
  </si>
  <si>
    <t xml:space="preserve">Iron Lady of India</t>
  </si>
  <si>
    <t xml:space="preserve">Rajiv Gandhi</t>
  </si>
  <si>
    <t xml:space="preserve">1944-08-20</t>
  </si>
  <si>
    <t xml:space="preserve">08:11</t>
  </si>
  <si>
    <t xml:space="preserve">Astro-Databank (A rating)</t>
  </si>
  <si>
    <t xml:space="preserve">6th PM of India</t>
  </si>
  <si>
    <t xml:space="preserve">Atal Bihari Vajpayee</t>
  </si>
  <si>
    <t xml:space="preserve">1924-12-25</t>
  </si>
  <si>
    <t xml:space="preserve">09:20</t>
  </si>
  <si>
    <t xml:space="preserve">Former PM; poet-statesman</t>
  </si>
  <si>
    <t xml:space="preserve">Sonia Gandhi</t>
  </si>
  <si>
    <t xml:space="preserve">1946-12-09</t>
  </si>
  <si>
    <t xml:space="preserve">09:30</t>
  </si>
  <si>
    <t xml:space="preserve">Lusiana, Vicenza</t>
  </si>
  <si>
    <t xml:space="preserve">Italy</t>
  </si>
  <si>
    <t xml:space="preserve">Born Edvige Antonia Albina Maino</t>
  </si>
  <si>
    <t xml:space="preserve">Rahul Gandhi</t>
  </si>
  <si>
    <t xml:space="preserve">1970-06-19</t>
  </si>
  <si>
    <t xml:space="preserve">14:18</t>
  </si>
  <si>
    <t xml:space="preserve">Congress president</t>
  </si>
  <si>
    <t xml:space="preserve">Arvind Kejriwal</t>
  </si>
  <si>
    <t xml:space="preserve">1968-08-16</t>
  </si>
  <si>
    <t xml:space="preserve">11:52</t>
  </si>
  <si>
    <t xml:space="preserve">Siwani</t>
  </si>
  <si>
    <t xml:space="preserve">Haryana</t>
  </si>
  <si>
    <t xml:space="preserve">AAP founder; Delhi CM</t>
  </si>
  <si>
    <t xml:space="preserve">Lal Krishna Advani</t>
  </si>
  <si>
    <t xml:space="preserve">1927-11-08</t>
  </si>
  <si>
    <t xml:space="preserve">Karachi</t>
  </si>
  <si>
    <t xml:space="preserve">Sindh (now Pakistan)</t>
  </si>
  <si>
    <t xml:space="preserve">BJP veteran</t>
  </si>
  <si>
    <t xml:space="preserve">Subhas Chandra Bose</t>
  </si>
  <si>
    <t xml:space="preserve">Freedom Fighter</t>
  </si>
  <si>
    <t xml:space="preserve">1897-01-23</t>
  </si>
  <si>
    <t xml:space="preserve">12:10</t>
  </si>
  <si>
    <t xml:space="preserve">Cuttack</t>
  </si>
  <si>
    <t xml:space="preserve">Odisha</t>
  </si>
  <si>
    <t xml:space="preserve">Astro-Databank/Historical records</t>
  </si>
  <si>
    <t xml:space="preserve">Netaji; INA founder</t>
  </si>
  <si>
    <t xml:space="preserve">Sachin Tendulkar</t>
  </si>
  <si>
    <t xml:space="preserve">Cricketer</t>
  </si>
  <si>
    <t xml:space="preserve">1973-04-24</t>
  </si>
  <si>
    <t xml:space="preserve">16:18</t>
  </si>
  <si>
    <t xml:space="preserve">God of Cricket; Master Blaster</t>
  </si>
  <si>
    <t xml:space="preserve">Virat Kohli</t>
  </si>
  <si>
    <t xml:space="preserve">1988-11-05</t>
  </si>
  <si>
    <t xml:space="preserve">00:07</t>
  </si>
  <si>
    <t xml:space="preserve">King Kohli; Scorpio Sun</t>
  </si>
  <si>
    <t xml:space="preserve">MS Dhoni</t>
  </si>
  <si>
    <t xml:space="preserve">1981-07-07</t>
  </si>
  <si>
    <t xml:space="preserve">Ranchi</t>
  </si>
  <si>
    <t xml:space="preserve">Captain Cool; Thala</t>
  </si>
  <si>
    <t xml:space="preserve">Rohit Sharma</t>
  </si>
  <si>
    <t xml:space="preserve">1987-04-30</t>
  </si>
  <si>
    <t xml:space="preserve">Nagpur</t>
  </si>
  <si>
    <t xml:space="preserve">Hitman; India captain</t>
  </si>
  <si>
    <t xml:space="preserve">Kapil Dev</t>
  </si>
  <si>
    <t xml:space="preserve">1959-01-06</t>
  </si>
  <si>
    <t xml:space="preserve">10:30</t>
  </si>
  <si>
    <t xml:space="preserve">Chandigarh</t>
  </si>
  <si>
    <t xml:space="preserve">1983 World Cup winning captain</t>
  </si>
  <si>
    <t xml:space="preserve">Sunil Gavaskar</t>
  </si>
  <si>
    <t xml:space="preserve">1949-07-10</t>
  </si>
  <si>
    <t xml:space="preserve">15:00</t>
  </si>
  <si>
    <t xml:space="preserve">Little Master</t>
  </si>
  <si>
    <t xml:space="preserve">Sourav Ganguly</t>
  </si>
  <si>
    <t xml:space="preserve">1972-07-08</t>
  </si>
  <si>
    <t xml:space="preserve">11:45</t>
  </si>
  <si>
    <t xml:space="preserve">Kolkata</t>
  </si>
  <si>
    <t xml:space="preserve">West Bengal</t>
  </si>
  <si>
    <t xml:space="preserve">Dada; BCCI President</t>
  </si>
  <si>
    <t xml:space="preserve">Rahul Dravid</t>
  </si>
  <si>
    <t xml:space="preserve">1973-01-11</t>
  </si>
  <si>
    <t xml:space="preserve">17:20</t>
  </si>
  <si>
    <t xml:space="preserve">The Wall; India coach</t>
  </si>
  <si>
    <t xml:space="preserve">Yuvraj Singh</t>
  </si>
  <si>
    <t xml:space="preserve">1981-12-12</t>
  </si>
  <si>
    <t xml:space="preserve">13:10</t>
  </si>
  <si>
    <t xml:space="preserve">6 sixes in an over fame</t>
  </si>
  <si>
    <t xml:space="preserve">Jasprit Bumrah</t>
  </si>
  <si>
    <t xml:space="preserve">1993-12-06</t>
  </si>
  <si>
    <t xml:space="preserve">Ahmedabad</t>
  </si>
  <si>
    <t xml:space="preserve">India's pace spearhead</t>
  </si>
  <si>
    <t xml:space="preserve">Dhirubhai Ambani</t>
  </si>
  <si>
    <t xml:space="preserve">Businessman</t>
  </si>
  <si>
    <t xml:space="preserve">1932-12-28</t>
  </si>
  <si>
    <t xml:space="preserve">09:15</t>
  </si>
  <si>
    <t xml:space="preserve">Chorwad</t>
  </si>
  <si>
    <t xml:space="preserve">Reliance founder</t>
  </si>
  <si>
    <t xml:space="preserve">Mukesh Ambani</t>
  </si>
  <si>
    <t xml:space="preserve">1957-04-19</t>
  </si>
  <si>
    <t xml:space="preserve">Aden</t>
  </si>
  <si>
    <t xml:space="preserve">Yemen</t>
  </si>
  <si>
    <t xml:space="preserve">AST</t>
  </si>
  <si>
    <t xml:space="preserve">Richest man in India; Reliance Chairman</t>
  </si>
  <si>
    <t xml:space="preserve">Ratan Tata</t>
  </si>
  <si>
    <t xml:space="preserve">1937-12-28</t>
  </si>
  <si>
    <t xml:space="preserve">Tata Group; beloved industrialist (d. 2024)</t>
  </si>
  <si>
    <t xml:space="preserve">Gautam Adani</t>
  </si>
  <si>
    <t xml:space="preserve">1962-06-24</t>
  </si>
  <si>
    <t xml:space="preserve">Adani Group founder</t>
  </si>
  <si>
    <t xml:space="preserve">Nita Ambani</t>
  </si>
  <si>
    <t xml:space="preserve">Businesswoman</t>
  </si>
  <si>
    <t xml:space="preserve">1963-11-01</t>
  </si>
  <si>
    <t xml:space="preserve">04:30</t>
  </si>
  <si>
    <t xml:space="preserve">Reliance Foundation chairperson</t>
  </si>
  <si>
    <t xml:space="preserve">Lata Mangeshkar</t>
  </si>
  <si>
    <t xml:space="preserve">Singer</t>
  </si>
  <si>
    <t xml:space="preserve">1929-09-28</t>
  </si>
  <si>
    <t xml:space="preserve">22:00</t>
  </si>
  <si>
    <t xml:space="preserve">Nightingale of India (d. 2022)</t>
  </si>
  <si>
    <t xml:space="preserve">A.R. Rahman</t>
  </si>
  <si>
    <t xml:space="preserve">Music Director</t>
  </si>
  <si>
    <t xml:space="preserve">1967-01-06</t>
  </si>
  <si>
    <t xml:space="preserve">Mozart of Madras; Oscar winner</t>
  </si>
  <si>
    <t xml:space="preserve">Kishore Kumar</t>
  </si>
  <si>
    <t xml:space="preserve">Singer/Actor</t>
  </si>
  <si>
    <t xml:space="preserve">1929-08-04</t>
  </si>
  <si>
    <t xml:space="preserve">Khandwa</t>
  </si>
  <si>
    <t xml:space="preserve">Legendary playback singer (d. 1987)</t>
  </si>
  <si>
    <t xml:space="preserve">Arijit Singh</t>
  </si>
  <si>
    <t xml:space="preserve">1987-04-25</t>
  </si>
  <si>
    <t xml:space="preserve">Jiaganj</t>
  </si>
  <si>
    <t xml:space="preserve">Top playback singer of modern Bollywood</t>
  </si>
  <si>
    <t xml:space="preserve">Shreya Ghoshal</t>
  </si>
  <si>
    <t xml:space="preserve">1984-03-12</t>
  </si>
  <si>
    <t xml:space="preserve">Berhampore</t>
  </si>
  <si>
    <t xml:space="preserve">Padma Shri awardee singer</t>
  </si>
  <si>
    <t xml:space="preserve">Satyajit Ray</t>
  </si>
  <si>
    <t xml:space="preserve">Director</t>
  </si>
  <si>
    <t xml:space="preserve">1921-05-02</t>
  </si>
  <si>
    <t xml:space="preserve">07:15</t>
  </si>
  <si>
    <t xml:space="preserve">Astro-Databank/Historical</t>
  </si>
  <si>
    <t xml:space="preserve">Oscar-winning filmmaker (d. 1992)</t>
  </si>
  <si>
    <t xml:space="preserve">Sanjay Leela Bhansali</t>
  </si>
  <si>
    <t xml:space="preserve">1963-02-24</t>
  </si>
  <si>
    <t xml:space="preserve">08:00</t>
  </si>
  <si>
    <t xml:space="preserve">Devdas/Padmaavat director</t>
  </si>
  <si>
    <t xml:space="preserve">Karan Johar</t>
  </si>
  <si>
    <t xml:space="preserve">1972-05-25</t>
  </si>
  <si>
    <t xml:space="preserve">Dharma Productions</t>
  </si>
  <si>
    <t xml:space="preserve">Rajkumar Hirani</t>
  </si>
  <si>
    <t xml:space="preserve">1962-11-20</t>
  </si>
  <si>
    <t xml:space="preserve">3 Idiots/PK/Munna Bhai director</t>
  </si>
  <si>
    <t xml:space="preserve">S.S. Rajamouli</t>
  </si>
  <si>
    <t xml:space="preserve">1973-10-10</t>
  </si>
  <si>
    <t xml:space="preserve">01:15</t>
  </si>
  <si>
    <t xml:space="preserve">Raichur</t>
  </si>
  <si>
    <t xml:space="preserve">Baahubali/RRR director</t>
  </si>
  <si>
    <t xml:space="preserve">Mahatma Gandhi</t>
  </si>
  <si>
    <t xml:space="preserve">1869-10-02</t>
  </si>
  <si>
    <t xml:space="preserve">07:11</t>
  </si>
  <si>
    <t xml:space="preserve">Porbandar</t>
  </si>
  <si>
    <t xml:space="preserve">Father of the Nation; Libra Sun</t>
  </si>
  <si>
    <t xml:space="preserve">Swami Vivekananda</t>
  </si>
  <si>
    <t xml:space="preserve">Spiritual Leader</t>
  </si>
  <si>
    <t xml:space="preserve">1863-01-12</t>
  </si>
  <si>
    <t xml:space="preserve">06:33</t>
  </si>
  <si>
    <t xml:space="preserve">Founder, Ramakrishna Mission (d. 1902)</t>
  </si>
  <si>
    <t xml:space="preserve">Sai Baba of Shirdi</t>
  </si>
  <si>
    <t xml:space="preserve">1838-09-28</t>
  </si>
  <si>
    <t xml:space="preserve">Pathri</t>
  </si>
  <si>
    <t xml:space="preserve">Traditional accounts</t>
  </si>
  <si>
    <t xml:space="preserve">Approximate; debated birth date</t>
  </si>
  <si>
    <t xml:space="preserve">Dr. B.R. Ambedkar</t>
  </si>
  <si>
    <t xml:space="preserve">Social Reformer</t>
  </si>
  <si>
    <t xml:space="preserve">1891-04-14</t>
  </si>
  <si>
    <t xml:space="preserve">18:00</t>
  </si>
  <si>
    <t xml:space="preserve">Mhow</t>
  </si>
  <si>
    <t xml:space="preserve">AstroSage/Historical records</t>
  </si>
  <si>
    <t xml:space="preserve">Architect of Indian Constitution (d. 1956)</t>
  </si>
  <si>
    <t xml:space="preserve">Rabindranath Tagore</t>
  </si>
  <si>
    <t xml:space="preserve">Poet/Nobel Laureate</t>
  </si>
  <si>
    <t xml:space="preserve">1861-05-07</t>
  </si>
  <si>
    <t xml:space="preserve">02:51</t>
  </si>
  <si>
    <t xml:space="preserve">First non-European Nobel Prize winner (d. 1941)</t>
  </si>
  <si>
    <t xml:space="preserve">Allu Arjun</t>
  </si>
  <si>
    <t xml:space="preserve">Telugu Actor</t>
  </si>
  <si>
    <t xml:space="preserve">1982-04-08</t>
  </si>
  <si>
    <t xml:space="preserve">Pushpa fame; Stylish Star</t>
  </si>
  <si>
    <t xml:space="preserve">Prabhas</t>
  </si>
  <si>
    <t xml:space="preserve">1979-10-23</t>
  </si>
  <si>
    <t xml:space="preserve">06:45</t>
  </si>
  <si>
    <t xml:space="preserve">Baahubali fame; rebel star</t>
  </si>
  <si>
    <t xml:space="preserve">Mahesh Babu</t>
  </si>
  <si>
    <t xml:space="preserve">1975-08-09</t>
  </si>
  <si>
    <t xml:space="preserve">Prince of Tollywood</t>
  </si>
  <si>
    <t xml:space="preserve">Ram Charan</t>
  </si>
  <si>
    <t xml:space="preserve">1985-03-27</t>
  </si>
  <si>
    <t xml:space="preserve">RRR fame; son of Chiranjeevi</t>
  </si>
  <si>
    <t xml:space="preserve">Jr. NTR</t>
  </si>
  <si>
    <t xml:space="preserve">1983-05-20</t>
  </si>
  <si>
    <t xml:space="preserve">Hyderabad</t>
  </si>
  <si>
    <t xml:space="preserve">Telangana</t>
  </si>
  <si>
    <t xml:space="preserve">RRR fame; Nandamuri family</t>
  </si>
  <si>
    <t xml:space="preserve">Vijay (Thalapathy)</t>
  </si>
  <si>
    <t xml:space="preserve">1974-06-22</t>
  </si>
  <si>
    <t xml:space="preserve">18:45</t>
  </si>
  <si>
    <t xml:space="preserve">Joseph Vijay Chandrasekhar</t>
  </si>
  <si>
    <t xml:space="preserve">Mohanlal</t>
  </si>
  <si>
    <t xml:space="preserve">Malayalam Actor</t>
  </si>
  <si>
    <t xml:space="preserve">1960-05-21</t>
  </si>
  <si>
    <t xml:space="preserve">03:30</t>
  </si>
  <si>
    <t xml:space="preserve">Elanthoor</t>
  </si>
  <si>
    <t xml:space="preserve">Kerala</t>
  </si>
  <si>
    <t xml:space="preserve">Complete Actor; Padma Bhushan</t>
  </si>
  <si>
    <t xml:space="preserve">Mammootty</t>
  </si>
  <si>
    <t xml:space="preserve">1951-09-07</t>
  </si>
  <si>
    <t xml:space="preserve">04:00</t>
  </si>
  <si>
    <t xml:space="preserve">Chandiroor</t>
  </si>
  <si>
    <t xml:space="preserve">Padma Shri; 3x National Award</t>
  </si>
  <si>
    <t xml:space="preserve">Yash</t>
  </si>
  <si>
    <t xml:space="preserve">Kannada Actor</t>
  </si>
  <si>
    <t xml:space="preserve">1986-01-08</t>
  </si>
  <si>
    <t xml:space="preserve">07:30</t>
  </si>
  <si>
    <t xml:space="preserve">Bhuvanahalli</t>
  </si>
  <si>
    <t xml:space="preserve">KGF fame; Rocking Star</t>
  </si>
  <si>
    <t xml:space="preserve">Chiranjeevi</t>
  </si>
  <si>
    <t xml:space="preserve">1955-08-22</t>
  </si>
  <si>
    <t xml:space="preserve">07:00</t>
  </si>
  <si>
    <t xml:space="preserve">Mogalturu</t>
  </si>
  <si>
    <t xml:space="preserve">Andhra Pradesh</t>
  </si>
  <si>
    <t xml:space="preserve">Megastar; politician</t>
  </si>
  <si>
    <t xml:space="preserve">P.V. Sindhu</t>
  </si>
  <si>
    <t xml:space="preserve">Badminton</t>
  </si>
  <si>
    <t xml:space="preserve">1995-07-05</t>
  </si>
  <si>
    <t xml:space="preserve">Olympic silver &amp; bronze medalist</t>
  </si>
  <si>
    <t xml:space="preserve">Saina Nehwal</t>
  </si>
  <si>
    <t xml:space="preserve">1990-03-17</t>
  </si>
  <si>
    <t xml:space="preserve">Hisar</t>
  </si>
  <si>
    <t xml:space="preserve">Former World No.1</t>
  </si>
  <si>
    <t xml:space="preserve">Mary Kom</t>
  </si>
  <si>
    <t xml:space="preserve">Boxing</t>
  </si>
  <si>
    <t xml:space="preserve">1983-03-01</t>
  </si>
  <si>
    <t xml:space="preserve">Kangathei</t>
  </si>
  <si>
    <t xml:space="preserve">Manipur</t>
  </si>
  <si>
    <t xml:space="preserve">6x World Amateur Boxing Champion</t>
  </si>
  <si>
    <t xml:space="preserve">Neeraj Chopra</t>
  </si>
  <si>
    <t xml:space="preserve">Javelin Throw</t>
  </si>
  <si>
    <t xml:space="preserve">1997-12-24</t>
  </si>
  <si>
    <t xml:space="preserve">Khandra</t>
  </si>
  <si>
    <t xml:space="preserve">Olympic gold medalist (Tokyo 2020)</t>
  </si>
  <si>
    <t xml:space="preserve">Sania Mirza</t>
  </si>
  <si>
    <t xml:space="preserve">Tennis</t>
  </si>
  <si>
    <t xml:space="preserve">1986-11-15</t>
  </si>
  <si>
    <t xml:space="preserve">17:30</t>
  </si>
  <si>
    <t xml:space="preserve">India's tennis queen</t>
  </si>
  <si>
    <t xml:space="preserve">Raj Kapoor</t>
  </si>
  <si>
    <t xml:space="preserve">Actor/Director</t>
  </si>
  <si>
    <t xml:space="preserve">1924-12-14</t>
  </si>
  <si>
    <t xml:space="preserve">Peshawar</t>
  </si>
  <si>
    <t xml:space="preserve">NWFP (now Pakistan)</t>
  </si>
  <si>
    <t xml:space="preserve">The Showman (d. 1988)</t>
  </si>
  <si>
    <t xml:space="preserve">Dev Anand</t>
  </si>
  <si>
    <t xml:space="preserve">Actor</t>
  </si>
  <si>
    <t xml:space="preserve">1923-09-26</t>
  </si>
  <si>
    <t xml:space="preserve">Shakargarh</t>
  </si>
  <si>
    <t xml:space="preserve">Punjab (now Pakistan)</t>
  </si>
  <si>
    <t xml:space="preserve">Evergreen hero (d. 2011)</t>
  </si>
  <si>
    <t xml:space="preserve">Dilip Kumar</t>
  </si>
  <si>
    <t xml:space="preserve">1922-12-11</t>
  </si>
  <si>
    <t xml:space="preserve">05:00</t>
  </si>
  <si>
    <t xml:space="preserve">Tragedy King; born Yusuf Khan (d. 2021)</t>
  </si>
  <si>
    <t xml:space="preserve">Hema Malini</t>
  </si>
  <si>
    <t xml:space="preserve">Actress/Politician</t>
  </si>
  <si>
    <t xml:space="preserve">1948-10-16</t>
  </si>
  <si>
    <t xml:space="preserve">16:15</t>
  </si>
  <si>
    <t xml:space="preserve">Ammankudi</t>
  </si>
  <si>
    <t xml:space="preserve">Dream Girl</t>
  </si>
  <si>
    <t xml:space="preserve">Sridevi</t>
  </si>
  <si>
    <t xml:space="preserve">Actress</t>
  </si>
  <si>
    <t xml:space="preserve">1963-08-13</t>
  </si>
  <si>
    <t xml:space="preserve">18:30</t>
  </si>
  <si>
    <t xml:space="preserve">Sivakasi</t>
  </si>
  <si>
    <t xml:space="preserve">First female superstar (d. 2018)</t>
  </si>
  <si>
    <t xml:space="preserve">Lalu Prasad Yadav</t>
  </si>
  <si>
    <t xml:space="preserve">1948-06-11</t>
  </si>
  <si>
    <t xml:space="preserve">Phulwaria</t>
  </si>
  <si>
    <t xml:space="preserve">Bihar</t>
  </si>
  <si>
    <t xml:space="preserve">Former Bihar CM; RJD founder</t>
  </si>
  <si>
    <t xml:space="preserve">Dr. APJ Abdul Kalam</t>
  </si>
  <si>
    <t xml:space="preserve">Scientist/President</t>
  </si>
  <si>
    <t xml:space="preserve">1931-10-15</t>
  </si>
  <si>
    <t xml:space="preserve">01:00</t>
  </si>
  <si>
    <t xml:space="preserve">Rameswaram</t>
  </si>
  <si>
    <t xml:space="preserve">Missile Man; 11th President (d. 2015)</t>
  </si>
  <si>
    <t xml:space="preserve">Amartya Sen</t>
  </si>
  <si>
    <t xml:space="preserve">Economist/Nobel Laureate</t>
  </si>
  <si>
    <t xml:space="preserve">1933-11-03</t>
  </si>
  <si>
    <t xml:space="preserve">Santiniketan</t>
  </si>
  <si>
    <t xml:space="preserve">Nobel Prize in Economics 1998</t>
  </si>
  <si>
    <t xml:space="preserve">Narayan Murthy</t>
  </si>
  <si>
    <t xml:space="preserve">1946-08-20</t>
  </si>
  <si>
    <t xml:space="preserve">Sidlaghatta</t>
  </si>
  <si>
    <t xml:space="preserve">Infosys co-founder</t>
  </si>
  <si>
    <t xml:space="preserve">Sundar Pichai</t>
  </si>
  <si>
    <t xml:space="preserve">Tech CEO</t>
  </si>
  <si>
    <t xml:space="preserve">1972-06-10</t>
  </si>
  <si>
    <t xml:space="preserve">Madurai</t>
  </si>
  <si>
    <t xml:space="preserve">Google/Alphabet CEO</t>
  </si>
  <si>
    <t xml:space="preserve">Metric</t>
  </si>
  <si>
    <t xml:space="preserve">Count</t>
  </si>
  <si>
    <t xml:space="preserve">Total Celebrities</t>
  </si>
  <si>
    <t xml:space="preserve">Bollywood Actors</t>
  </si>
  <si>
    <t xml:space="preserve">Bollywood Actresses</t>
  </si>
  <si>
    <t xml:space="preserve">Politicians</t>
  </si>
  <si>
    <t xml:space="preserve">Freedom Fighters</t>
  </si>
  <si>
    <t xml:space="preserve">Cricketers</t>
  </si>
  <si>
    <t xml:space="preserve">Business Leaders</t>
  </si>
  <si>
    <t xml:space="preserve">Singers/Musicians</t>
  </si>
  <si>
    <t xml:space="preserve">Directors</t>
  </si>
  <si>
    <t xml:space="preserve">South Indian Cinema</t>
  </si>
  <si>
    <t xml:space="preserve">Confidence A (Multi-source verified)</t>
  </si>
  <si>
    <t xml:space="preserve">Confidence B (Single reputable source)</t>
  </si>
  <si>
    <t xml:space="preserve">Confidence C (Commonly used, debated)</t>
  </si>
  <si>
    <t xml:space="preserve">Male</t>
  </si>
  <si>
    <t xml:space="preserve">Female</t>
  </si>
  <si>
    <t xml:space="preserve">Source</t>
  </si>
  <si>
    <t xml:space="preserve">URL</t>
  </si>
  <si>
    <t xml:space="preserve">Type</t>
  </si>
  <si>
    <t xml:space="preserve">Reliability</t>
  </si>
  <si>
    <t xml:space="preserve">https://celebrity.astrosage.com/</t>
  </si>
  <si>
    <t xml:space="preserve">Indian Astrology DB</t>
  </si>
  <si>
    <t xml:space="preserve">High — largest Indian celebrity birth data collection</t>
  </si>
  <si>
    <t xml:space="preserve">GrahaSutra Celebrity Charts</t>
  </si>
  <si>
    <t xml:space="preserve">https://grahasutra.com/celebrity/</t>
  </si>
  <si>
    <t xml:space="preserve">Vedic Astrology (Sidereal)</t>
  </si>
  <si>
    <t xml:space="preserve">High — Swiss Ephemeris-based, cross-verified</t>
  </si>
  <si>
    <t xml:space="preserve">Astro-Databank (astro.com)</t>
  </si>
  <si>
    <t xml:space="preserve">https://www.astro.com/astro-databank/</t>
  </si>
  <si>
    <t xml:space="preserve">Intl Astrology DB</t>
  </si>
  <si>
    <t xml:space="preserve">Highest — Rodden Rating system (AA/A/B/C/DD/X)</t>
  </si>
  <si>
    <t xml:space="preserve">kamalkapoor.com</t>
  </si>
  <si>
    <t xml:space="preserve">https://www.kamalkapoor.com/</t>
  </si>
  <si>
    <t xml:space="preserve">Indian Astrologer</t>
  </si>
  <si>
    <t xml:space="preserve">Medium — individual astrologer analysis</t>
  </si>
  <si>
    <t xml:space="preserve">Prokerala Astrology</t>
  </si>
  <si>
    <t xml:space="preserve">https://www.prokerala.com/astrology/</t>
  </si>
  <si>
    <t xml:space="preserve">Indian Astrology Portal</t>
  </si>
  <si>
    <t xml:space="preserve">Medium — cross-reference source</t>
  </si>
  <si>
    <t xml:space="preserve">CONFIDENCE RATING KEY</t>
  </si>
  <si>
    <t xml:space="preserve">A = Multiple sources agree on birth time</t>
  </si>
  <si>
    <t xml:space="preserve">Highest confidence — use as-is</t>
  </si>
  <si>
    <t xml:space="preserve">B = Single reputable source (AstroSage/Astro-Databank)</t>
  </si>
  <si>
    <t xml:space="preserve">Good confidence — minor time variations possible</t>
  </si>
  <si>
    <t xml:space="preserve">C = Commonly used time, but debated or unverified</t>
  </si>
  <si>
    <t xml:space="preserve">Use with caution — may need rectification</t>
  </si>
  <si>
    <t xml:space="preserve">METHODOLOGY</t>
  </si>
  <si>
    <t xml:space="preserve">1. Primary data from AstroSage Celebrity Astro Databank</t>
  </si>
  <si>
    <t xml:space="preserve">2. Cross-referenced with GrahaSutra celebrity charts</t>
  </si>
  <si>
    <t xml:space="preserve">3. Historical figures verified against Astro-Databank Rodden ratings</t>
  </si>
  <si>
    <t xml:space="preserve">4. Coordinates from standard geocoding services</t>
  </si>
  <si>
    <t xml:space="preserve">5. All times in local birth timezone; IST offset = +5:30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</si>
</sst>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8B1A1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8B1A1A"/>
        <bgColor rgb="FF800000"/>
      </patternFill>
    </fill>
    <fill>
      <patternFill patternType="solid">
        <fgColor rgb="FFE8F5E9"/>
        <bgColor rgb="FFFFF8F0"/>
      </patternFill>
    </fill>
    <fill>
      <patternFill patternType="solid">
        <fgColor rgb="FFFFF8F0"/>
        <bgColor rgb="FFFFFFFF"/>
      </patternFill>
    </fill>
    <fill>
      <patternFill patternType="solid">
        <fgColor rgb="FFFFF9C4"/>
        <bgColor rgb="FFFFF8F0"/>
      </patternFill>
    </fill>
    <fill>
      <patternFill patternType="solid">
        <fgColor rgb="FFFFEBEE"/>
        <bgColor rgb="FFFFF8F0"/>
      </patternFill>
    </fill>
    <fill>
      <patternFill patternType="solid">
        <fgColor rgb="FF1B5E20"/>
        <bgColor rgb="FF333333"/>
      </patternFill>
    </fill>
    <fill>
      <patternFill patternType="solid">
        <fgColor rgb="FF0D47A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8B1A1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8F0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F00"/>
      <rgbColor rgb="FF666699"/>
      <rgbColor rgb="FF969696"/>
      <rgbColor rgb="FF0D47A1"/>
      <rgbColor rgb="FF339966"/>
      <rgbColor rgb="FF003300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6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34"/>
    <col collapsed="false" customWidth="true" hidden="false" outlineLevel="0" max="15" min="15" style="0" width="42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n">
        <v>25.43</v>
      </c>
      <c r="I2" s="3" t="n">
        <v>81.85</v>
      </c>
      <c r="J2" s="3" t="s">
        <v>21</v>
      </c>
      <c r="K2" s="2" t="n">
        <v>5.5</v>
      </c>
      <c r="L2" s="2" t="s">
        <v>22</v>
      </c>
      <c r="M2" s="4" t="s">
        <v>23</v>
      </c>
      <c r="N2" s="3" t="s">
        <v>24</v>
      </c>
      <c r="O2" s="3" t="s">
        <v>25</v>
      </c>
    </row>
    <row r="3" customFormat="false" ht="15" hidden="false" customHeight="false" outlineLevel="0" collapsed="false">
      <c r="A3" s="5" t="n">
        <v>2</v>
      </c>
      <c r="B3" s="6" t="s">
        <v>26</v>
      </c>
      <c r="C3" s="6" t="s">
        <v>16</v>
      </c>
      <c r="D3" s="6" t="s">
        <v>27</v>
      </c>
      <c r="E3" s="6" t="s">
        <v>28</v>
      </c>
      <c r="F3" s="6" t="s">
        <v>29</v>
      </c>
      <c r="G3" s="6" t="s">
        <v>30</v>
      </c>
      <c r="H3" s="6" t="n">
        <v>28.61</v>
      </c>
      <c r="I3" s="6" t="n">
        <v>77.21</v>
      </c>
      <c r="J3" s="6" t="s">
        <v>21</v>
      </c>
      <c r="K3" s="5" t="n">
        <v>5.5</v>
      </c>
      <c r="L3" s="5" t="s">
        <v>22</v>
      </c>
      <c r="M3" s="4" t="s">
        <v>23</v>
      </c>
      <c r="N3" s="6" t="s">
        <v>31</v>
      </c>
      <c r="O3" s="6" t="s">
        <v>32</v>
      </c>
    </row>
    <row r="4" customFormat="false" ht="15" hidden="false" customHeight="false" outlineLevel="0" collapsed="false">
      <c r="A4" s="2" t="n">
        <v>3</v>
      </c>
      <c r="B4" s="3" t="s">
        <v>33</v>
      </c>
      <c r="C4" s="3" t="s">
        <v>16</v>
      </c>
      <c r="D4" s="3" t="s">
        <v>34</v>
      </c>
      <c r="E4" s="3" t="s">
        <v>35</v>
      </c>
      <c r="F4" s="3" t="s">
        <v>36</v>
      </c>
      <c r="G4" s="3" t="s">
        <v>37</v>
      </c>
      <c r="H4" s="3" t="n">
        <v>22.72</v>
      </c>
      <c r="I4" s="3" t="n">
        <v>75.86</v>
      </c>
      <c r="J4" s="3" t="s">
        <v>21</v>
      </c>
      <c r="K4" s="2" t="n">
        <v>5.5</v>
      </c>
      <c r="L4" s="2" t="s">
        <v>22</v>
      </c>
      <c r="M4" s="7" t="s">
        <v>38</v>
      </c>
      <c r="N4" s="3" t="s">
        <v>39</v>
      </c>
      <c r="O4" s="3" t="s">
        <v>40</v>
      </c>
    </row>
    <row r="5" customFormat="false" ht="15" hidden="false" customHeight="false" outlineLevel="0" collapsed="false">
      <c r="A5" s="5" t="n">
        <v>4</v>
      </c>
      <c r="B5" s="6" t="s">
        <v>41</v>
      </c>
      <c r="C5" s="6" t="s">
        <v>16</v>
      </c>
      <c r="D5" s="6" t="s">
        <v>42</v>
      </c>
      <c r="E5" s="6" t="s">
        <v>43</v>
      </c>
      <c r="F5" s="6" t="s">
        <v>44</v>
      </c>
      <c r="G5" s="6" t="s">
        <v>45</v>
      </c>
      <c r="H5" s="6" t="n">
        <v>19.08</v>
      </c>
      <c r="I5" s="6" t="n">
        <v>72.88</v>
      </c>
      <c r="J5" s="6" t="s">
        <v>21</v>
      </c>
      <c r="K5" s="5" t="n">
        <v>5.5</v>
      </c>
      <c r="L5" s="5" t="s">
        <v>22</v>
      </c>
      <c r="M5" s="7" t="s">
        <v>38</v>
      </c>
      <c r="N5" s="6" t="s">
        <v>46</v>
      </c>
      <c r="O5" s="6" t="s">
        <v>47</v>
      </c>
    </row>
    <row r="6" customFormat="false" ht="15" hidden="false" customHeight="false" outlineLevel="0" collapsed="false">
      <c r="A6" s="2" t="n">
        <v>5</v>
      </c>
      <c r="B6" s="3" t="s">
        <v>48</v>
      </c>
      <c r="C6" s="3" t="s">
        <v>16</v>
      </c>
      <c r="D6" s="3" t="s">
        <v>49</v>
      </c>
      <c r="E6" s="3" t="s">
        <v>50</v>
      </c>
      <c r="F6" s="3" t="s">
        <v>44</v>
      </c>
      <c r="G6" s="3" t="s">
        <v>45</v>
      </c>
      <c r="H6" s="3" t="n">
        <v>19.08</v>
      </c>
      <c r="I6" s="3" t="n">
        <v>72.88</v>
      </c>
      <c r="J6" s="3" t="s">
        <v>21</v>
      </c>
      <c r="K6" s="2" t="n">
        <v>5.5</v>
      </c>
      <c r="L6" s="2" t="s">
        <v>22</v>
      </c>
      <c r="M6" s="4" t="s">
        <v>23</v>
      </c>
      <c r="N6" s="3" t="s">
        <v>51</v>
      </c>
      <c r="O6" s="3" t="s">
        <v>52</v>
      </c>
    </row>
    <row r="7" customFormat="false" ht="15" hidden="false" customHeight="false" outlineLevel="0" collapsed="false">
      <c r="A7" s="5" t="n">
        <v>6</v>
      </c>
      <c r="B7" s="6" t="s">
        <v>53</v>
      </c>
      <c r="C7" s="6" t="s">
        <v>16</v>
      </c>
      <c r="D7" s="6" t="s">
        <v>54</v>
      </c>
      <c r="E7" s="6" t="s">
        <v>55</v>
      </c>
      <c r="F7" s="6" t="s">
        <v>56</v>
      </c>
      <c r="G7" s="6" t="s">
        <v>57</v>
      </c>
      <c r="H7" s="6" t="n">
        <v>31.63</v>
      </c>
      <c r="I7" s="6" t="n">
        <v>74.87</v>
      </c>
      <c r="J7" s="6" t="s">
        <v>21</v>
      </c>
      <c r="K7" s="5" t="n">
        <v>5.5</v>
      </c>
      <c r="L7" s="5" t="s">
        <v>22</v>
      </c>
      <c r="M7" s="7" t="s">
        <v>38</v>
      </c>
      <c r="N7" s="6" t="s">
        <v>46</v>
      </c>
      <c r="O7" s="6" t="s">
        <v>58</v>
      </c>
    </row>
    <row r="8" customFormat="false" ht="15" hidden="false" customHeight="false" outlineLevel="0" collapsed="false">
      <c r="A8" s="2" t="n">
        <v>7</v>
      </c>
      <c r="B8" s="3" t="s">
        <v>59</v>
      </c>
      <c r="C8" s="3" t="s">
        <v>16</v>
      </c>
      <c r="D8" s="3" t="s">
        <v>60</v>
      </c>
      <c r="E8" s="3" t="s">
        <v>61</v>
      </c>
      <c r="F8" s="3" t="s">
        <v>44</v>
      </c>
      <c r="G8" s="3" t="s">
        <v>45</v>
      </c>
      <c r="H8" s="3" t="n">
        <v>19.08</v>
      </c>
      <c r="I8" s="3" t="n">
        <v>72.88</v>
      </c>
      <c r="J8" s="3" t="s">
        <v>21</v>
      </c>
      <c r="K8" s="2" t="n">
        <v>5.5</v>
      </c>
      <c r="L8" s="2" t="s">
        <v>22</v>
      </c>
      <c r="M8" s="7" t="s">
        <v>38</v>
      </c>
      <c r="N8" s="3" t="s">
        <v>39</v>
      </c>
      <c r="O8" s="3" t="s">
        <v>62</v>
      </c>
    </row>
    <row r="9" customFormat="false" ht="15" hidden="false" customHeight="false" outlineLevel="0" collapsed="false">
      <c r="A9" s="5" t="n">
        <v>8</v>
      </c>
      <c r="B9" s="6" t="s">
        <v>63</v>
      </c>
      <c r="C9" s="6" t="s">
        <v>16</v>
      </c>
      <c r="D9" s="6" t="s">
        <v>64</v>
      </c>
      <c r="E9" s="6" t="s">
        <v>65</v>
      </c>
      <c r="F9" s="6" t="s">
        <v>44</v>
      </c>
      <c r="G9" s="6" t="s">
        <v>45</v>
      </c>
      <c r="H9" s="6" t="n">
        <v>19.08</v>
      </c>
      <c r="I9" s="6" t="n">
        <v>72.88</v>
      </c>
      <c r="J9" s="6" t="s">
        <v>21</v>
      </c>
      <c r="K9" s="5" t="n">
        <v>5.5</v>
      </c>
      <c r="L9" s="5" t="s">
        <v>22</v>
      </c>
      <c r="M9" s="7" t="s">
        <v>38</v>
      </c>
      <c r="N9" s="6" t="s">
        <v>39</v>
      </c>
      <c r="O9" s="6" t="s">
        <v>66</v>
      </c>
    </row>
    <row r="10" customFormat="false" ht="15" hidden="false" customHeight="false" outlineLevel="0" collapsed="false">
      <c r="A10" s="2" t="n">
        <v>9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n">
        <v>12.97</v>
      </c>
      <c r="I10" s="3" t="n">
        <v>77.59</v>
      </c>
      <c r="J10" s="3" t="s">
        <v>21</v>
      </c>
      <c r="K10" s="2" t="n">
        <v>5.5</v>
      </c>
      <c r="L10" s="2" t="s">
        <v>22</v>
      </c>
      <c r="M10" s="4" t="s">
        <v>23</v>
      </c>
      <c r="N10" s="3" t="s">
        <v>73</v>
      </c>
      <c r="O10" s="3" t="s">
        <v>74</v>
      </c>
    </row>
    <row r="11" customFormat="false" ht="15" hidden="false" customHeight="false" outlineLevel="0" collapsed="false">
      <c r="A11" s="5" t="n">
        <v>10</v>
      </c>
      <c r="B11" s="6" t="s">
        <v>75</v>
      </c>
      <c r="C11" s="6" t="s">
        <v>68</v>
      </c>
      <c r="D11" s="6" t="s">
        <v>76</v>
      </c>
      <c r="E11" s="6" t="s">
        <v>77</v>
      </c>
      <c r="F11" s="6" t="s">
        <v>78</v>
      </c>
      <c r="G11" s="6" t="s">
        <v>79</v>
      </c>
      <c r="H11" s="6" t="n">
        <v>9.55</v>
      </c>
      <c r="I11" s="6" t="n">
        <v>78.59</v>
      </c>
      <c r="J11" s="6" t="s">
        <v>21</v>
      </c>
      <c r="K11" s="5" t="n">
        <v>5.5</v>
      </c>
      <c r="L11" s="5" t="s">
        <v>22</v>
      </c>
      <c r="M11" s="7" t="s">
        <v>38</v>
      </c>
      <c r="N11" s="6" t="s">
        <v>39</v>
      </c>
      <c r="O11" s="6" t="s">
        <v>80</v>
      </c>
    </row>
    <row r="12" customFormat="false" ht="15" hidden="false" customHeight="false" outlineLevel="0" collapsed="false">
      <c r="A12" s="2" t="n">
        <v>11</v>
      </c>
      <c r="B12" s="3" t="s">
        <v>81</v>
      </c>
      <c r="C12" s="3" t="s">
        <v>16</v>
      </c>
      <c r="D12" s="3" t="s">
        <v>82</v>
      </c>
      <c r="E12" s="3" t="s">
        <v>83</v>
      </c>
      <c r="F12" s="3" t="s">
        <v>29</v>
      </c>
      <c r="G12" s="3" t="s">
        <v>30</v>
      </c>
      <c r="H12" s="3" t="n">
        <v>28.61</v>
      </c>
      <c r="I12" s="3" t="n">
        <v>77.21</v>
      </c>
      <c r="J12" s="3" t="s">
        <v>21</v>
      </c>
      <c r="K12" s="2" t="n">
        <v>5.5</v>
      </c>
      <c r="L12" s="2" t="s">
        <v>22</v>
      </c>
      <c r="M12" s="7" t="s">
        <v>38</v>
      </c>
      <c r="N12" s="3" t="s">
        <v>46</v>
      </c>
      <c r="O12" s="3" t="s">
        <v>84</v>
      </c>
    </row>
    <row r="13" customFormat="false" ht="15" hidden="false" customHeight="false" outlineLevel="0" collapsed="false">
      <c r="A13" s="5" t="n">
        <v>12</v>
      </c>
      <c r="B13" s="6" t="s">
        <v>85</v>
      </c>
      <c r="C13" s="6" t="s">
        <v>16</v>
      </c>
      <c r="D13" s="6" t="s">
        <v>86</v>
      </c>
      <c r="E13" s="6" t="s">
        <v>87</v>
      </c>
      <c r="F13" s="6" t="s">
        <v>88</v>
      </c>
      <c r="G13" s="6" t="s">
        <v>57</v>
      </c>
      <c r="H13" s="6" t="n">
        <v>30.85</v>
      </c>
      <c r="I13" s="6" t="n">
        <v>76</v>
      </c>
      <c r="J13" s="6" t="s">
        <v>21</v>
      </c>
      <c r="K13" s="5" t="n">
        <v>5.5</v>
      </c>
      <c r="L13" s="5" t="s">
        <v>22</v>
      </c>
      <c r="M13" s="7" t="s">
        <v>38</v>
      </c>
      <c r="N13" s="6" t="s">
        <v>46</v>
      </c>
      <c r="O13" s="6" t="s">
        <v>89</v>
      </c>
    </row>
    <row r="14" customFormat="false" ht="15" hidden="false" customHeight="false" outlineLevel="0" collapsed="false">
      <c r="A14" s="2" t="n">
        <v>13</v>
      </c>
      <c r="B14" s="3" t="s">
        <v>90</v>
      </c>
      <c r="C14" s="3" t="s">
        <v>16</v>
      </c>
      <c r="D14" s="3" t="s">
        <v>91</v>
      </c>
      <c r="E14" s="3" t="s">
        <v>92</v>
      </c>
      <c r="F14" s="3" t="s">
        <v>44</v>
      </c>
      <c r="G14" s="3" t="s">
        <v>45</v>
      </c>
      <c r="H14" s="3" t="n">
        <v>19.08</v>
      </c>
      <c r="I14" s="3" t="n">
        <v>72.88</v>
      </c>
      <c r="J14" s="3" t="s">
        <v>21</v>
      </c>
      <c r="K14" s="2" t="n">
        <v>5.5</v>
      </c>
      <c r="L14" s="2" t="s">
        <v>22</v>
      </c>
      <c r="M14" s="7" t="s">
        <v>38</v>
      </c>
      <c r="N14" s="3" t="s">
        <v>46</v>
      </c>
      <c r="O14" s="3" t="s">
        <v>93</v>
      </c>
    </row>
    <row r="15" customFormat="false" ht="15" hidden="false" customHeight="false" outlineLevel="0" collapsed="false">
      <c r="A15" s="5" t="n">
        <v>14</v>
      </c>
      <c r="B15" s="6" t="s">
        <v>94</v>
      </c>
      <c r="C15" s="6" t="s">
        <v>16</v>
      </c>
      <c r="D15" s="6" t="s">
        <v>95</v>
      </c>
      <c r="E15" s="6" t="s">
        <v>96</v>
      </c>
      <c r="F15" s="6" t="s">
        <v>44</v>
      </c>
      <c r="G15" s="6" t="s">
        <v>45</v>
      </c>
      <c r="H15" s="6" t="n">
        <v>19.08</v>
      </c>
      <c r="I15" s="6" t="n">
        <v>72.88</v>
      </c>
      <c r="J15" s="6" t="s">
        <v>21</v>
      </c>
      <c r="K15" s="5" t="n">
        <v>5.5</v>
      </c>
      <c r="L15" s="5" t="s">
        <v>22</v>
      </c>
      <c r="M15" s="8" t="s">
        <v>97</v>
      </c>
      <c r="N15" s="6" t="s">
        <v>98</v>
      </c>
      <c r="O15" s="6" t="s">
        <v>99</v>
      </c>
    </row>
    <row r="16" customFormat="false" ht="15" hidden="false" customHeight="false" outlineLevel="0" collapsed="false">
      <c r="A16" s="2" t="n">
        <v>15</v>
      </c>
      <c r="B16" s="3" t="s">
        <v>100</v>
      </c>
      <c r="C16" s="3" t="s">
        <v>16</v>
      </c>
      <c r="D16" s="3" t="s">
        <v>101</v>
      </c>
      <c r="E16" s="3" t="s">
        <v>102</v>
      </c>
      <c r="F16" s="3" t="s">
        <v>103</v>
      </c>
      <c r="G16" s="3" t="s">
        <v>37</v>
      </c>
      <c r="H16" s="3" t="n">
        <v>26.22</v>
      </c>
      <c r="I16" s="3" t="n">
        <v>78.18</v>
      </c>
      <c r="J16" s="3" t="s">
        <v>21</v>
      </c>
      <c r="K16" s="2" t="n">
        <v>5.5</v>
      </c>
      <c r="L16" s="2" t="s">
        <v>22</v>
      </c>
      <c r="M16" s="8" t="s">
        <v>97</v>
      </c>
      <c r="N16" s="3" t="s">
        <v>98</v>
      </c>
      <c r="O16" s="3" t="s">
        <v>104</v>
      </c>
    </row>
    <row r="17" customFormat="false" ht="15" hidden="false" customHeight="false" outlineLevel="0" collapsed="false">
      <c r="A17" s="5" t="n">
        <v>16</v>
      </c>
      <c r="B17" s="6" t="s">
        <v>105</v>
      </c>
      <c r="C17" s="6" t="s">
        <v>16</v>
      </c>
      <c r="D17" s="6" t="s">
        <v>106</v>
      </c>
      <c r="E17" s="6" t="s">
        <v>107</v>
      </c>
      <c r="F17" s="6" t="s">
        <v>29</v>
      </c>
      <c r="G17" s="6" t="s">
        <v>30</v>
      </c>
      <c r="H17" s="6" t="n">
        <v>28.61</v>
      </c>
      <c r="I17" s="6" t="n">
        <v>77.21</v>
      </c>
      <c r="J17" s="6" t="s">
        <v>21</v>
      </c>
      <c r="K17" s="5" t="n">
        <v>5.5</v>
      </c>
      <c r="L17" s="5" t="s">
        <v>22</v>
      </c>
      <c r="M17" s="8" t="s">
        <v>97</v>
      </c>
      <c r="N17" s="6" t="s">
        <v>98</v>
      </c>
      <c r="O17" s="6" t="s">
        <v>108</v>
      </c>
    </row>
    <row r="18" customFormat="false" ht="15" hidden="false" customHeight="false" outlineLevel="0" collapsed="false">
      <c r="A18" s="2" t="n">
        <v>17</v>
      </c>
      <c r="B18" s="3" t="s">
        <v>109</v>
      </c>
      <c r="C18" s="3" t="s">
        <v>16</v>
      </c>
      <c r="D18" s="3" t="s">
        <v>110</v>
      </c>
      <c r="E18" s="3" t="s">
        <v>111</v>
      </c>
      <c r="F18" s="3" t="s">
        <v>44</v>
      </c>
      <c r="G18" s="3" t="s">
        <v>45</v>
      </c>
      <c r="H18" s="3" t="n">
        <v>19.08</v>
      </c>
      <c r="I18" s="3" t="n">
        <v>72.88</v>
      </c>
      <c r="J18" s="3" t="s">
        <v>21</v>
      </c>
      <c r="K18" s="2" t="n">
        <v>5.5</v>
      </c>
      <c r="L18" s="2" t="s">
        <v>22</v>
      </c>
      <c r="M18" s="4" t="s">
        <v>23</v>
      </c>
      <c r="N18" s="3" t="s">
        <v>46</v>
      </c>
      <c r="O18" s="3" t="s">
        <v>112</v>
      </c>
    </row>
    <row r="19" customFormat="false" ht="15" hidden="false" customHeight="false" outlineLevel="0" collapsed="false">
      <c r="A19" s="5" t="n">
        <v>18</v>
      </c>
      <c r="B19" s="6" t="s">
        <v>113</v>
      </c>
      <c r="C19" s="6" t="s">
        <v>16</v>
      </c>
      <c r="D19" s="6" t="s">
        <v>114</v>
      </c>
      <c r="E19" s="6" t="s">
        <v>115</v>
      </c>
      <c r="F19" s="6" t="s">
        <v>29</v>
      </c>
      <c r="G19" s="6" t="s">
        <v>30</v>
      </c>
      <c r="H19" s="6" t="n">
        <v>28.61</v>
      </c>
      <c r="I19" s="6" t="n">
        <v>77.21</v>
      </c>
      <c r="J19" s="6" t="s">
        <v>21</v>
      </c>
      <c r="K19" s="5" t="n">
        <v>5.5</v>
      </c>
      <c r="L19" s="5" t="s">
        <v>22</v>
      </c>
      <c r="M19" s="7" t="s">
        <v>38</v>
      </c>
      <c r="N19" s="6" t="s">
        <v>39</v>
      </c>
      <c r="O19" s="6" t="s">
        <v>116</v>
      </c>
    </row>
    <row r="20" customFormat="false" ht="15" hidden="false" customHeight="false" outlineLevel="0" collapsed="false">
      <c r="A20" s="2" t="n">
        <v>19</v>
      </c>
      <c r="B20" s="3" t="s">
        <v>117</v>
      </c>
      <c r="C20" s="3" t="s">
        <v>16</v>
      </c>
      <c r="D20" s="3" t="s">
        <v>118</v>
      </c>
      <c r="E20" s="3" t="s">
        <v>119</v>
      </c>
      <c r="F20" s="3" t="s">
        <v>44</v>
      </c>
      <c r="G20" s="3" t="s">
        <v>45</v>
      </c>
      <c r="H20" s="3" t="n">
        <v>19.08</v>
      </c>
      <c r="I20" s="3" t="n">
        <v>72.88</v>
      </c>
      <c r="J20" s="3" t="s">
        <v>21</v>
      </c>
      <c r="K20" s="2" t="n">
        <v>5.5</v>
      </c>
      <c r="L20" s="2" t="s">
        <v>22</v>
      </c>
      <c r="M20" s="8" t="s">
        <v>97</v>
      </c>
      <c r="N20" s="3" t="s">
        <v>39</v>
      </c>
      <c r="O20" s="3" t="s">
        <v>120</v>
      </c>
    </row>
    <row r="21" customFormat="false" ht="15" hidden="false" customHeight="false" outlineLevel="0" collapsed="false">
      <c r="A21" s="5" t="n">
        <v>20</v>
      </c>
      <c r="B21" s="6" t="s">
        <v>121</v>
      </c>
      <c r="C21" s="6" t="s">
        <v>16</v>
      </c>
      <c r="D21" s="6" t="s">
        <v>122</v>
      </c>
      <c r="E21" s="6" t="s">
        <v>123</v>
      </c>
      <c r="F21" s="6" t="s">
        <v>44</v>
      </c>
      <c r="G21" s="6" t="s">
        <v>45</v>
      </c>
      <c r="H21" s="6" t="n">
        <v>19.08</v>
      </c>
      <c r="I21" s="6" t="n">
        <v>72.88</v>
      </c>
      <c r="J21" s="6" t="s">
        <v>21</v>
      </c>
      <c r="K21" s="5" t="n">
        <v>5.5</v>
      </c>
      <c r="L21" s="5" t="s">
        <v>22</v>
      </c>
      <c r="M21" s="8" t="s">
        <v>97</v>
      </c>
      <c r="N21" s="6" t="s">
        <v>39</v>
      </c>
      <c r="O21" s="6" t="s">
        <v>124</v>
      </c>
    </row>
    <row r="22" customFormat="false" ht="15" hidden="false" customHeight="false" outlineLevel="0" collapsed="false">
      <c r="A22" s="2" t="n">
        <v>21</v>
      </c>
      <c r="B22" s="3" t="s">
        <v>125</v>
      </c>
      <c r="C22" s="3" t="s">
        <v>126</v>
      </c>
      <c r="D22" s="3" t="s">
        <v>127</v>
      </c>
      <c r="E22" s="3" t="s">
        <v>128</v>
      </c>
      <c r="F22" s="3" t="s">
        <v>129</v>
      </c>
      <c r="G22" s="3" t="s">
        <v>72</v>
      </c>
      <c r="H22" s="3" t="n">
        <v>12.87</v>
      </c>
      <c r="I22" s="3" t="n">
        <v>74.84</v>
      </c>
      <c r="J22" s="3" t="s">
        <v>21</v>
      </c>
      <c r="K22" s="2" t="n">
        <v>5.5</v>
      </c>
      <c r="L22" s="2" t="s">
        <v>130</v>
      </c>
      <c r="M22" s="4" t="s">
        <v>23</v>
      </c>
      <c r="N22" s="3" t="s">
        <v>131</v>
      </c>
      <c r="O22" s="3" t="s">
        <v>132</v>
      </c>
    </row>
    <row r="23" customFormat="false" ht="15" hidden="false" customHeight="false" outlineLevel="0" collapsed="false">
      <c r="A23" s="5" t="n">
        <v>22</v>
      </c>
      <c r="B23" s="6" t="s">
        <v>133</v>
      </c>
      <c r="C23" s="6" t="s">
        <v>126</v>
      </c>
      <c r="D23" s="6" t="s">
        <v>134</v>
      </c>
      <c r="E23" s="6" t="s">
        <v>135</v>
      </c>
      <c r="F23" s="6" t="s">
        <v>136</v>
      </c>
      <c r="G23" s="6" t="s">
        <v>137</v>
      </c>
      <c r="H23" s="6" t="n">
        <v>55.68</v>
      </c>
      <c r="I23" s="6" t="n">
        <v>12.57</v>
      </c>
      <c r="J23" s="6" t="s">
        <v>138</v>
      </c>
      <c r="K23" s="5" t="n">
        <v>1</v>
      </c>
      <c r="L23" s="5" t="s">
        <v>130</v>
      </c>
      <c r="M23" s="4" t="s">
        <v>23</v>
      </c>
      <c r="N23" s="6" t="s">
        <v>51</v>
      </c>
      <c r="O23" s="6" t="s">
        <v>139</v>
      </c>
    </row>
    <row r="24" customFormat="false" ht="15" hidden="false" customHeight="false" outlineLevel="0" collapsed="false">
      <c r="A24" s="2" t="n">
        <v>23</v>
      </c>
      <c r="B24" s="3" t="s">
        <v>140</v>
      </c>
      <c r="C24" s="3" t="s">
        <v>126</v>
      </c>
      <c r="D24" s="3" t="s">
        <v>141</v>
      </c>
      <c r="E24" s="3" t="s">
        <v>142</v>
      </c>
      <c r="F24" s="3" t="s">
        <v>143</v>
      </c>
      <c r="G24" s="3" t="s">
        <v>144</v>
      </c>
      <c r="H24" s="3" t="n">
        <v>22.8</v>
      </c>
      <c r="I24" s="3" t="n">
        <v>86.18</v>
      </c>
      <c r="J24" s="3" t="s">
        <v>21</v>
      </c>
      <c r="K24" s="2" t="n">
        <v>5.5</v>
      </c>
      <c r="L24" s="2" t="s">
        <v>130</v>
      </c>
      <c r="M24" s="7" t="s">
        <v>38</v>
      </c>
      <c r="N24" s="3" t="s">
        <v>39</v>
      </c>
      <c r="O24" s="3" t="s">
        <v>145</v>
      </c>
    </row>
    <row r="25" customFormat="false" ht="15" hidden="false" customHeight="false" outlineLevel="0" collapsed="false">
      <c r="A25" s="5" t="n">
        <v>24</v>
      </c>
      <c r="B25" s="6" t="s">
        <v>146</v>
      </c>
      <c r="C25" s="6" t="s">
        <v>126</v>
      </c>
      <c r="D25" s="6" t="s">
        <v>147</v>
      </c>
      <c r="E25" s="6" t="s">
        <v>148</v>
      </c>
      <c r="F25" s="6" t="s">
        <v>149</v>
      </c>
      <c r="G25" s="6" t="s">
        <v>149</v>
      </c>
      <c r="H25" s="6" t="n">
        <v>22.32</v>
      </c>
      <c r="I25" s="6" t="n">
        <v>114.17</v>
      </c>
      <c r="J25" s="6" t="s">
        <v>150</v>
      </c>
      <c r="K25" s="5" t="n">
        <v>8</v>
      </c>
      <c r="L25" s="5" t="s">
        <v>130</v>
      </c>
      <c r="M25" s="8" t="s">
        <v>97</v>
      </c>
      <c r="N25" s="6" t="s">
        <v>39</v>
      </c>
      <c r="O25" s="6" t="s">
        <v>151</v>
      </c>
    </row>
    <row r="26" customFormat="false" ht="15" hidden="false" customHeight="false" outlineLevel="0" collapsed="false">
      <c r="A26" s="2" t="n">
        <v>25</v>
      </c>
      <c r="B26" s="3" t="s">
        <v>152</v>
      </c>
      <c r="C26" s="3" t="s">
        <v>126</v>
      </c>
      <c r="D26" s="3" t="s">
        <v>153</v>
      </c>
      <c r="E26" s="3" t="s">
        <v>65</v>
      </c>
      <c r="F26" s="3" t="s">
        <v>44</v>
      </c>
      <c r="G26" s="3" t="s">
        <v>45</v>
      </c>
      <c r="H26" s="3" t="n">
        <v>19.08</v>
      </c>
      <c r="I26" s="3" t="n">
        <v>72.88</v>
      </c>
      <c r="J26" s="3" t="s">
        <v>21</v>
      </c>
      <c r="K26" s="2" t="n">
        <v>5.5</v>
      </c>
      <c r="L26" s="2" t="s">
        <v>130</v>
      </c>
      <c r="M26" s="7" t="s">
        <v>38</v>
      </c>
      <c r="N26" s="3" t="s">
        <v>39</v>
      </c>
      <c r="O26" s="3" t="s">
        <v>154</v>
      </c>
    </row>
    <row r="27" customFormat="false" ht="15" hidden="false" customHeight="false" outlineLevel="0" collapsed="false">
      <c r="A27" s="5" t="n">
        <v>26</v>
      </c>
      <c r="B27" s="6" t="s">
        <v>155</v>
      </c>
      <c r="C27" s="6" t="s">
        <v>126</v>
      </c>
      <c r="D27" s="6" t="s">
        <v>156</v>
      </c>
      <c r="E27" s="6" t="s">
        <v>96</v>
      </c>
      <c r="F27" s="6" t="s">
        <v>157</v>
      </c>
      <c r="G27" s="6" t="s">
        <v>158</v>
      </c>
      <c r="H27" s="6" t="n">
        <v>31.71</v>
      </c>
      <c r="I27" s="6" t="n">
        <v>76.93</v>
      </c>
      <c r="J27" s="6" t="s">
        <v>21</v>
      </c>
      <c r="K27" s="5" t="n">
        <v>5.5</v>
      </c>
      <c r="L27" s="5" t="s">
        <v>130</v>
      </c>
      <c r="M27" s="7" t="s">
        <v>38</v>
      </c>
      <c r="N27" s="6" t="s">
        <v>46</v>
      </c>
      <c r="O27" s="6" t="s">
        <v>159</v>
      </c>
    </row>
    <row r="28" customFormat="false" ht="15" hidden="false" customHeight="false" outlineLevel="0" collapsed="false">
      <c r="A28" s="2" t="n">
        <v>27</v>
      </c>
      <c r="B28" s="3" t="s">
        <v>160</v>
      </c>
      <c r="C28" s="3" t="s">
        <v>126</v>
      </c>
      <c r="D28" s="3" t="s">
        <v>161</v>
      </c>
      <c r="E28" s="3" t="s">
        <v>162</v>
      </c>
      <c r="F28" s="3" t="s">
        <v>44</v>
      </c>
      <c r="G28" s="3" t="s">
        <v>45</v>
      </c>
      <c r="H28" s="3" t="n">
        <v>19.08</v>
      </c>
      <c r="I28" s="3" t="n">
        <v>72.88</v>
      </c>
      <c r="J28" s="3" t="s">
        <v>21</v>
      </c>
      <c r="K28" s="2" t="n">
        <v>5.5</v>
      </c>
      <c r="L28" s="2" t="s">
        <v>130</v>
      </c>
      <c r="M28" s="4" t="s">
        <v>23</v>
      </c>
      <c r="N28" s="3" t="s">
        <v>46</v>
      </c>
      <c r="O28" s="3" t="s">
        <v>163</v>
      </c>
    </row>
    <row r="29" customFormat="false" ht="15" hidden="false" customHeight="false" outlineLevel="0" collapsed="false">
      <c r="A29" s="5" t="n">
        <v>28</v>
      </c>
      <c r="B29" s="6" t="s">
        <v>164</v>
      </c>
      <c r="C29" s="6" t="s">
        <v>126</v>
      </c>
      <c r="D29" s="6" t="s">
        <v>165</v>
      </c>
      <c r="E29" s="6" t="s">
        <v>128</v>
      </c>
      <c r="F29" s="6" t="s">
        <v>166</v>
      </c>
      <c r="G29" s="6" t="s">
        <v>79</v>
      </c>
      <c r="H29" s="6" t="n">
        <v>13.08</v>
      </c>
      <c r="I29" s="6" t="n">
        <v>80.27</v>
      </c>
      <c r="J29" s="6" t="s">
        <v>21</v>
      </c>
      <c r="K29" s="5" t="n">
        <v>5.5</v>
      </c>
      <c r="L29" s="5" t="s">
        <v>130</v>
      </c>
      <c r="M29" s="7" t="s">
        <v>38</v>
      </c>
      <c r="N29" s="6" t="s">
        <v>46</v>
      </c>
      <c r="O29" s="6" t="s">
        <v>167</v>
      </c>
    </row>
    <row r="30" customFormat="false" ht="15" hidden="false" customHeight="false" outlineLevel="0" collapsed="false">
      <c r="A30" s="2" t="n">
        <v>29</v>
      </c>
      <c r="B30" s="3" t="s">
        <v>168</v>
      </c>
      <c r="C30" s="3" t="s">
        <v>126</v>
      </c>
      <c r="D30" s="3" t="s">
        <v>169</v>
      </c>
      <c r="E30" s="3" t="s">
        <v>170</v>
      </c>
      <c r="F30" s="3" t="s">
        <v>44</v>
      </c>
      <c r="G30" s="3" t="s">
        <v>45</v>
      </c>
      <c r="H30" s="3" t="n">
        <v>19.08</v>
      </c>
      <c r="I30" s="3" t="n">
        <v>72.88</v>
      </c>
      <c r="J30" s="3" t="s">
        <v>21</v>
      </c>
      <c r="K30" s="2" t="n">
        <v>5.5</v>
      </c>
      <c r="L30" s="2" t="s">
        <v>130</v>
      </c>
      <c r="M30" s="7" t="s">
        <v>38</v>
      </c>
      <c r="N30" s="3" t="s">
        <v>46</v>
      </c>
      <c r="O30" s="3" t="s">
        <v>171</v>
      </c>
    </row>
    <row r="31" customFormat="false" ht="15" hidden="false" customHeight="false" outlineLevel="0" collapsed="false">
      <c r="A31" s="5" t="n">
        <v>30</v>
      </c>
      <c r="B31" s="6" t="s">
        <v>172</v>
      </c>
      <c r="C31" s="6" t="s">
        <v>126</v>
      </c>
      <c r="D31" s="6" t="s">
        <v>173</v>
      </c>
      <c r="E31" s="6" t="s">
        <v>148</v>
      </c>
      <c r="F31" s="6" t="s">
        <v>174</v>
      </c>
      <c r="G31" s="6" t="s">
        <v>158</v>
      </c>
      <c r="H31" s="6" t="n">
        <v>31.1</v>
      </c>
      <c r="I31" s="6" t="n">
        <v>77.17</v>
      </c>
      <c r="J31" s="6" t="s">
        <v>21</v>
      </c>
      <c r="K31" s="5" t="n">
        <v>5.5</v>
      </c>
      <c r="L31" s="5" t="s">
        <v>130</v>
      </c>
      <c r="M31" s="7" t="s">
        <v>38</v>
      </c>
      <c r="N31" s="6" t="s">
        <v>46</v>
      </c>
      <c r="O31" s="6" t="s">
        <v>175</v>
      </c>
    </row>
    <row r="32" customFormat="false" ht="15" hidden="false" customHeight="false" outlineLevel="0" collapsed="false">
      <c r="A32" s="2" t="n">
        <v>31</v>
      </c>
      <c r="B32" s="3" t="s">
        <v>176</v>
      </c>
      <c r="C32" s="3" t="s">
        <v>126</v>
      </c>
      <c r="D32" s="3" t="s">
        <v>177</v>
      </c>
      <c r="E32" s="3" t="s">
        <v>178</v>
      </c>
      <c r="F32" s="3" t="s">
        <v>179</v>
      </c>
      <c r="G32" s="3" t="s">
        <v>57</v>
      </c>
      <c r="H32" s="3" t="n">
        <v>30.9</v>
      </c>
      <c r="I32" s="3" t="n">
        <v>75.86</v>
      </c>
      <c r="J32" s="3" t="s">
        <v>21</v>
      </c>
      <c r="K32" s="2" t="n">
        <v>5.5</v>
      </c>
      <c r="L32" s="2" t="s">
        <v>130</v>
      </c>
      <c r="M32" s="7" t="s">
        <v>38</v>
      </c>
      <c r="N32" s="3" t="s">
        <v>46</v>
      </c>
      <c r="O32" s="3" t="s">
        <v>180</v>
      </c>
    </row>
    <row r="33" customFormat="false" ht="15" hidden="false" customHeight="false" outlineLevel="0" collapsed="false">
      <c r="A33" s="5" t="n">
        <v>32</v>
      </c>
      <c r="B33" s="6" t="s">
        <v>181</v>
      </c>
      <c r="C33" s="6" t="s">
        <v>126</v>
      </c>
      <c r="D33" s="6" t="s">
        <v>182</v>
      </c>
      <c r="E33" s="6" t="s">
        <v>65</v>
      </c>
      <c r="F33" s="6" t="s">
        <v>44</v>
      </c>
      <c r="G33" s="6" t="s">
        <v>45</v>
      </c>
      <c r="H33" s="6" t="n">
        <v>19.08</v>
      </c>
      <c r="I33" s="6" t="n">
        <v>72.88</v>
      </c>
      <c r="J33" s="6" t="s">
        <v>21</v>
      </c>
      <c r="K33" s="5" t="n">
        <v>5.5</v>
      </c>
      <c r="L33" s="5" t="s">
        <v>130</v>
      </c>
      <c r="M33" s="8" t="s">
        <v>97</v>
      </c>
      <c r="N33" s="6" t="s">
        <v>98</v>
      </c>
      <c r="O33" s="6" t="s">
        <v>183</v>
      </c>
    </row>
    <row r="34" customFormat="false" ht="15" hidden="false" customHeight="false" outlineLevel="0" collapsed="false">
      <c r="A34" s="2" t="n">
        <v>33</v>
      </c>
      <c r="B34" s="3" t="s">
        <v>184</v>
      </c>
      <c r="C34" s="3" t="s">
        <v>126</v>
      </c>
      <c r="D34" s="3" t="s">
        <v>185</v>
      </c>
      <c r="E34" s="3" t="s">
        <v>96</v>
      </c>
      <c r="F34" s="3" t="s">
        <v>29</v>
      </c>
      <c r="G34" s="3" t="s">
        <v>30</v>
      </c>
      <c r="H34" s="3" t="n">
        <v>28.61</v>
      </c>
      <c r="I34" s="3" t="n">
        <v>77.21</v>
      </c>
      <c r="J34" s="3" t="s">
        <v>21</v>
      </c>
      <c r="K34" s="2" t="n">
        <v>5.5</v>
      </c>
      <c r="L34" s="2" t="s">
        <v>130</v>
      </c>
      <c r="M34" s="8" t="s">
        <v>97</v>
      </c>
      <c r="N34" s="3" t="s">
        <v>98</v>
      </c>
      <c r="O34" s="3" t="s">
        <v>186</v>
      </c>
    </row>
    <row r="35" customFormat="false" ht="15" hidden="false" customHeight="false" outlineLevel="0" collapsed="false">
      <c r="A35" s="5" t="n">
        <v>34</v>
      </c>
      <c r="B35" s="6" t="s">
        <v>187</v>
      </c>
      <c r="C35" s="6" t="s">
        <v>126</v>
      </c>
      <c r="D35" s="6" t="s">
        <v>188</v>
      </c>
      <c r="E35" s="6" t="s">
        <v>189</v>
      </c>
      <c r="F35" s="6" t="s">
        <v>44</v>
      </c>
      <c r="G35" s="6" t="s">
        <v>45</v>
      </c>
      <c r="H35" s="6" t="n">
        <v>19.08</v>
      </c>
      <c r="I35" s="6" t="n">
        <v>72.88</v>
      </c>
      <c r="J35" s="6" t="s">
        <v>21</v>
      </c>
      <c r="K35" s="5" t="n">
        <v>5.5</v>
      </c>
      <c r="L35" s="5" t="s">
        <v>130</v>
      </c>
      <c r="M35" s="7" t="s">
        <v>38</v>
      </c>
      <c r="N35" s="6" t="s">
        <v>46</v>
      </c>
      <c r="O35" s="6" t="s">
        <v>190</v>
      </c>
    </row>
    <row r="36" customFormat="false" ht="15" hidden="false" customHeight="false" outlineLevel="0" collapsed="false">
      <c r="A36" s="2" t="n">
        <v>35</v>
      </c>
      <c r="B36" s="3" t="s">
        <v>191</v>
      </c>
      <c r="C36" s="3" t="s">
        <v>126</v>
      </c>
      <c r="D36" s="3" t="s">
        <v>192</v>
      </c>
      <c r="E36" s="3" t="s">
        <v>193</v>
      </c>
      <c r="F36" s="3" t="s">
        <v>44</v>
      </c>
      <c r="G36" s="3" t="s">
        <v>45</v>
      </c>
      <c r="H36" s="3" t="n">
        <v>19.08</v>
      </c>
      <c r="I36" s="3" t="n">
        <v>72.88</v>
      </c>
      <c r="J36" s="3" t="s">
        <v>21</v>
      </c>
      <c r="K36" s="2" t="n">
        <v>5.5</v>
      </c>
      <c r="L36" s="2" t="s">
        <v>130</v>
      </c>
      <c r="M36" s="7" t="s">
        <v>38</v>
      </c>
      <c r="N36" s="3" t="s">
        <v>39</v>
      </c>
      <c r="O36" s="3" t="s">
        <v>194</v>
      </c>
    </row>
    <row r="37" customFormat="false" ht="15" hidden="false" customHeight="false" outlineLevel="0" collapsed="false">
      <c r="A37" s="5" t="n">
        <v>36</v>
      </c>
      <c r="B37" s="6" t="s">
        <v>195</v>
      </c>
      <c r="C37" s="6" t="s">
        <v>196</v>
      </c>
      <c r="D37" s="6" t="s">
        <v>197</v>
      </c>
      <c r="E37" s="6" t="s">
        <v>119</v>
      </c>
      <c r="F37" s="6" t="s">
        <v>198</v>
      </c>
      <c r="G37" s="6" t="s">
        <v>199</v>
      </c>
      <c r="H37" s="6" t="n">
        <v>23.78</v>
      </c>
      <c r="I37" s="6" t="n">
        <v>72.64</v>
      </c>
      <c r="J37" s="6" t="s">
        <v>21</v>
      </c>
      <c r="K37" s="5" t="n">
        <v>5.5</v>
      </c>
      <c r="L37" s="5" t="s">
        <v>22</v>
      </c>
      <c r="M37" s="4" t="s">
        <v>23</v>
      </c>
      <c r="N37" s="6" t="s">
        <v>200</v>
      </c>
      <c r="O37" s="6" t="s">
        <v>201</v>
      </c>
    </row>
    <row r="38" customFormat="false" ht="15" hidden="false" customHeight="false" outlineLevel="0" collapsed="false">
      <c r="A38" s="2" t="n">
        <v>37</v>
      </c>
      <c r="B38" s="3" t="s">
        <v>202</v>
      </c>
      <c r="C38" s="3" t="s">
        <v>196</v>
      </c>
      <c r="D38" s="3" t="s">
        <v>203</v>
      </c>
      <c r="E38" s="3" t="s">
        <v>204</v>
      </c>
      <c r="F38" s="3" t="s">
        <v>19</v>
      </c>
      <c r="G38" s="3" t="s">
        <v>20</v>
      </c>
      <c r="H38" s="3" t="n">
        <v>25.43</v>
      </c>
      <c r="I38" s="3" t="n">
        <v>81.85</v>
      </c>
      <c r="J38" s="3" t="s">
        <v>21</v>
      </c>
      <c r="K38" s="2" t="n">
        <v>5.5</v>
      </c>
      <c r="L38" s="2" t="s">
        <v>22</v>
      </c>
      <c r="M38" s="4" t="s">
        <v>23</v>
      </c>
      <c r="N38" s="3" t="s">
        <v>205</v>
      </c>
      <c r="O38" s="3" t="s">
        <v>206</v>
      </c>
    </row>
    <row r="39" customFormat="false" ht="15" hidden="false" customHeight="false" outlineLevel="0" collapsed="false">
      <c r="A39" s="5" t="n">
        <v>38</v>
      </c>
      <c r="B39" s="6" t="s">
        <v>207</v>
      </c>
      <c r="C39" s="6" t="s">
        <v>196</v>
      </c>
      <c r="D39" s="6" t="s">
        <v>208</v>
      </c>
      <c r="E39" s="6" t="s">
        <v>209</v>
      </c>
      <c r="F39" s="6" t="s">
        <v>19</v>
      </c>
      <c r="G39" s="6" t="s">
        <v>20</v>
      </c>
      <c r="H39" s="6" t="n">
        <v>25.43</v>
      </c>
      <c r="I39" s="6" t="n">
        <v>81.85</v>
      </c>
      <c r="J39" s="6" t="s">
        <v>21</v>
      </c>
      <c r="K39" s="5" t="n">
        <v>5.5</v>
      </c>
      <c r="L39" s="5" t="s">
        <v>130</v>
      </c>
      <c r="M39" s="4" t="s">
        <v>23</v>
      </c>
      <c r="N39" s="6" t="s">
        <v>205</v>
      </c>
      <c r="O39" s="6" t="s">
        <v>210</v>
      </c>
    </row>
    <row r="40" customFormat="false" ht="15" hidden="false" customHeight="false" outlineLevel="0" collapsed="false">
      <c r="A40" s="2" t="n">
        <v>39</v>
      </c>
      <c r="B40" s="3" t="s">
        <v>211</v>
      </c>
      <c r="C40" s="3" t="s">
        <v>196</v>
      </c>
      <c r="D40" s="3" t="s">
        <v>212</v>
      </c>
      <c r="E40" s="3" t="s">
        <v>213</v>
      </c>
      <c r="F40" s="3" t="s">
        <v>44</v>
      </c>
      <c r="G40" s="3" t="s">
        <v>45</v>
      </c>
      <c r="H40" s="3" t="n">
        <v>19.08</v>
      </c>
      <c r="I40" s="3" t="n">
        <v>72.88</v>
      </c>
      <c r="J40" s="3" t="s">
        <v>21</v>
      </c>
      <c r="K40" s="2" t="n">
        <v>5.5</v>
      </c>
      <c r="L40" s="2" t="s">
        <v>22</v>
      </c>
      <c r="M40" s="4" t="s">
        <v>23</v>
      </c>
      <c r="N40" s="3" t="s">
        <v>214</v>
      </c>
      <c r="O40" s="3" t="s">
        <v>215</v>
      </c>
    </row>
    <row r="41" customFormat="false" ht="15" hidden="false" customHeight="false" outlineLevel="0" collapsed="false">
      <c r="A41" s="5" t="n">
        <v>40</v>
      </c>
      <c r="B41" s="6" t="s">
        <v>216</v>
      </c>
      <c r="C41" s="6" t="s">
        <v>196</v>
      </c>
      <c r="D41" s="6" t="s">
        <v>217</v>
      </c>
      <c r="E41" s="6" t="s">
        <v>218</v>
      </c>
      <c r="F41" s="6" t="s">
        <v>103</v>
      </c>
      <c r="G41" s="6" t="s">
        <v>37</v>
      </c>
      <c r="H41" s="6" t="n">
        <v>26.22</v>
      </c>
      <c r="I41" s="6" t="n">
        <v>78.18</v>
      </c>
      <c r="J41" s="6" t="s">
        <v>21</v>
      </c>
      <c r="K41" s="5" t="n">
        <v>5.5</v>
      </c>
      <c r="L41" s="5" t="s">
        <v>22</v>
      </c>
      <c r="M41" s="4" t="s">
        <v>23</v>
      </c>
      <c r="N41" s="6" t="s">
        <v>51</v>
      </c>
      <c r="O41" s="6" t="s">
        <v>219</v>
      </c>
    </row>
    <row r="42" customFormat="false" ht="15" hidden="false" customHeight="false" outlineLevel="0" collapsed="false">
      <c r="A42" s="2" t="n">
        <v>41</v>
      </c>
      <c r="B42" s="3" t="s">
        <v>220</v>
      </c>
      <c r="C42" s="3" t="s">
        <v>196</v>
      </c>
      <c r="D42" s="3" t="s">
        <v>221</v>
      </c>
      <c r="E42" s="3" t="s">
        <v>222</v>
      </c>
      <c r="F42" s="3" t="s">
        <v>223</v>
      </c>
      <c r="G42" s="3" t="s">
        <v>224</v>
      </c>
      <c r="H42" s="3" t="n">
        <v>45.78</v>
      </c>
      <c r="I42" s="3" t="n">
        <v>11.56</v>
      </c>
      <c r="J42" s="3" t="s">
        <v>138</v>
      </c>
      <c r="K42" s="2" t="n">
        <v>1</v>
      </c>
      <c r="L42" s="2" t="s">
        <v>130</v>
      </c>
      <c r="M42" s="7" t="s">
        <v>38</v>
      </c>
      <c r="N42" s="3" t="s">
        <v>39</v>
      </c>
      <c r="O42" s="3" t="s">
        <v>225</v>
      </c>
    </row>
    <row r="43" customFormat="false" ht="15" hidden="false" customHeight="false" outlineLevel="0" collapsed="false">
      <c r="A43" s="5" t="n">
        <v>42</v>
      </c>
      <c r="B43" s="6" t="s">
        <v>226</v>
      </c>
      <c r="C43" s="6" t="s">
        <v>196</v>
      </c>
      <c r="D43" s="6" t="s">
        <v>227</v>
      </c>
      <c r="E43" s="6" t="s">
        <v>228</v>
      </c>
      <c r="F43" s="6" t="s">
        <v>29</v>
      </c>
      <c r="G43" s="6" t="s">
        <v>30</v>
      </c>
      <c r="H43" s="6" t="n">
        <v>28.61</v>
      </c>
      <c r="I43" s="6" t="n">
        <v>77.21</v>
      </c>
      <c r="J43" s="6" t="s">
        <v>21</v>
      </c>
      <c r="K43" s="5" t="n">
        <v>5.5</v>
      </c>
      <c r="L43" s="5" t="s">
        <v>22</v>
      </c>
      <c r="M43" s="7" t="s">
        <v>38</v>
      </c>
      <c r="N43" s="6" t="s">
        <v>39</v>
      </c>
      <c r="O43" s="6" t="s">
        <v>229</v>
      </c>
    </row>
    <row r="44" customFormat="false" ht="15" hidden="false" customHeight="false" outlineLevel="0" collapsed="false">
      <c r="A44" s="2" t="n">
        <v>43</v>
      </c>
      <c r="B44" s="3" t="s">
        <v>230</v>
      </c>
      <c r="C44" s="3" t="s">
        <v>196</v>
      </c>
      <c r="D44" s="3" t="s">
        <v>231</v>
      </c>
      <c r="E44" s="3" t="s">
        <v>232</v>
      </c>
      <c r="F44" s="3" t="s">
        <v>233</v>
      </c>
      <c r="G44" s="3" t="s">
        <v>234</v>
      </c>
      <c r="H44" s="3" t="n">
        <v>28.91</v>
      </c>
      <c r="I44" s="3" t="n">
        <v>75.59</v>
      </c>
      <c r="J44" s="3" t="s">
        <v>21</v>
      </c>
      <c r="K44" s="2" t="n">
        <v>5.5</v>
      </c>
      <c r="L44" s="2" t="s">
        <v>22</v>
      </c>
      <c r="M44" s="7" t="s">
        <v>38</v>
      </c>
      <c r="N44" s="3" t="s">
        <v>39</v>
      </c>
      <c r="O44" s="3" t="s">
        <v>235</v>
      </c>
    </row>
    <row r="45" customFormat="false" ht="15" hidden="false" customHeight="false" outlineLevel="0" collapsed="false">
      <c r="A45" s="5" t="n">
        <v>44</v>
      </c>
      <c r="B45" s="6" t="s">
        <v>236</v>
      </c>
      <c r="C45" s="6" t="s">
        <v>196</v>
      </c>
      <c r="D45" s="6" t="s">
        <v>237</v>
      </c>
      <c r="E45" s="6" t="s">
        <v>96</v>
      </c>
      <c r="F45" s="6" t="s">
        <v>238</v>
      </c>
      <c r="G45" s="6" t="s">
        <v>239</v>
      </c>
      <c r="H45" s="6" t="n">
        <v>24.86</v>
      </c>
      <c r="I45" s="6" t="n">
        <v>67.01</v>
      </c>
      <c r="J45" s="6" t="s">
        <v>21</v>
      </c>
      <c r="K45" s="5" t="n">
        <v>5.5</v>
      </c>
      <c r="L45" s="5" t="s">
        <v>22</v>
      </c>
      <c r="M45" s="7" t="s">
        <v>38</v>
      </c>
      <c r="N45" s="6" t="s">
        <v>39</v>
      </c>
      <c r="O45" s="6" t="s">
        <v>240</v>
      </c>
    </row>
    <row r="46" customFormat="false" ht="15" hidden="false" customHeight="false" outlineLevel="0" collapsed="false">
      <c r="A46" s="2" t="n">
        <v>45</v>
      </c>
      <c r="B46" s="3" t="s">
        <v>241</v>
      </c>
      <c r="C46" s="3" t="s">
        <v>242</v>
      </c>
      <c r="D46" s="3" t="s">
        <v>243</v>
      </c>
      <c r="E46" s="3" t="s">
        <v>244</v>
      </c>
      <c r="F46" s="3" t="s">
        <v>245</v>
      </c>
      <c r="G46" s="3" t="s">
        <v>246</v>
      </c>
      <c r="H46" s="3" t="n">
        <v>20.46</v>
      </c>
      <c r="I46" s="3" t="n">
        <v>85.88</v>
      </c>
      <c r="J46" s="3" t="s">
        <v>21</v>
      </c>
      <c r="K46" s="2" t="n">
        <v>5.5</v>
      </c>
      <c r="L46" s="2" t="s">
        <v>22</v>
      </c>
      <c r="M46" s="4" t="s">
        <v>23</v>
      </c>
      <c r="N46" s="3" t="s">
        <v>247</v>
      </c>
      <c r="O46" s="3" t="s">
        <v>248</v>
      </c>
    </row>
    <row r="47" customFormat="false" ht="15" hidden="false" customHeight="false" outlineLevel="0" collapsed="false">
      <c r="A47" s="5" t="n">
        <v>46</v>
      </c>
      <c r="B47" s="6" t="s">
        <v>249</v>
      </c>
      <c r="C47" s="6" t="s">
        <v>250</v>
      </c>
      <c r="D47" s="6" t="s">
        <v>251</v>
      </c>
      <c r="E47" s="6" t="s">
        <v>252</v>
      </c>
      <c r="F47" s="6" t="s">
        <v>44</v>
      </c>
      <c r="G47" s="6" t="s">
        <v>45</v>
      </c>
      <c r="H47" s="6" t="n">
        <v>19.08</v>
      </c>
      <c r="I47" s="6" t="n">
        <v>72.88</v>
      </c>
      <c r="J47" s="6" t="s">
        <v>21</v>
      </c>
      <c r="K47" s="5" t="n">
        <v>5.5</v>
      </c>
      <c r="L47" s="5" t="s">
        <v>22</v>
      </c>
      <c r="M47" s="4" t="s">
        <v>23</v>
      </c>
      <c r="N47" s="6" t="s">
        <v>51</v>
      </c>
      <c r="O47" s="6" t="s">
        <v>253</v>
      </c>
    </row>
    <row r="48" customFormat="false" ht="15" hidden="false" customHeight="false" outlineLevel="0" collapsed="false">
      <c r="A48" s="2" t="n">
        <v>47</v>
      </c>
      <c r="B48" s="3" t="s">
        <v>254</v>
      </c>
      <c r="C48" s="3" t="s">
        <v>250</v>
      </c>
      <c r="D48" s="3" t="s">
        <v>255</v>
      </c>
      <c r="E48" s="3" t="s">
        <v>256</v>
      </c>
      <c r="F48" s="3" t="s">
        <v>29</v>
      </c>
      <c r="G48" s="3" t="s">
        <v>30</v>
      </c>
      <c r="H48" s="3" t="n">
        <v>28.61</v>
      </c>
      <c r="I48" s="3" t="n">
        <v>77.21</v>
      </c>
      <c r="J48" s="3" t="s">
        <v>21</v>
      </c>
      <c r="K48" s="2" t="n">
        <v>5.5</v>
      </c>
      <c r="L48" s="2" t="s">
        <v>22</v>
      </c>
      <c r="M48" s="4" t="s">
        <v>23</v>
      </c>
      <c r="N48" s="3" t="s">
        <v>31</v>
      </c>
      <c r="O48" s="3" t="s">
        <v>257</v>
      </c>
    </row>
    <row r="49" customFormat="false" ht="15" hidden="false" customHeight="false" outlineLevel="0" collapsed="false">
      <c r="A49" s="5" t="n">
        <v>48</v>
      </c>
      <c r="B49" s="6" t="s">
        <v>258</v>
      </c>
      <c r="C49" s="6" t="s">
        <v>250</v>
      </c>
      <c r="D49" s="6" t="s">
        <v>259</v>
      </c>
      <c r="E49" s="6" t="s">
        <v>35</v>
      </c>
      <c r="F49" s="6" t="s">
        <v>260</v>
      </c>
      <c r="G49" s="6" t="s">
        <v>144</v>
      </c>
      <c r="H49" s="6" t="n">
        <v>23.36</v>
      </c>
      <c r="I49" s="6" t="n">
        <v>85.33</v>
      </c>
      <c r="J49" s="6" t="s">
        <v>21</v>
      </c>
      <c r="K49" s="5" t="n">
        <v>5.5</v>
      </c>
      <c r="L49" s="5" t="s">
        <v>22</v>
      </c>
      <c r="M49" s="7" t="s">
        <v>38</v>
      </c>
      <c r="N49" s="6" t="s">
        <v>39</v>
      </c>
      <c r="O49" s="6" t="s">
        <v>261</v>
      </c>
    </row>
    <row r="50" customFormat="false" ht="15" hidden="false" customHeight="false" outlineLevel="0" collapsed="false">
      <c r="A50" s="2" t="n">
        <v>49</v>
      </c>
      <c r="B50" s="3" t="s">
        <v>262</v>
      </c>
      <c r="C50" s="3" t="s">
        <v>250</v>
      </c>
      <c r="D50" s="3" t="s">
        <v>263</v>
      </c>
      <c r="E50" s="3" t="s">
        <v>102</v>
      </c>
      <c r="F50" s="3" t="s">
        <v>264</v>
      </c>
      <c r="G50" s="3" t="s">
        <v>45</v>
      </c>
      <c r="H50" s="3" t="n">
        <v>21.15</v>
      </c>
      <c r="I50" s="3" t="n">
        <v>79.09</v>
      </c>
      <c r="J50" s="3" t="s">
        <v>21</v>
      </c>
      <c r="K50" s="2" t="n">
        <v>5.5</v>
      </c>
      <c r="L50" s="2" t="s">
        <v>22</v>
      </c>
      <c r="M50" s="7" t="s">
        <v>38</v>
      </c>
      <c r="N50" s="3" t="s">
        <v>39</v>
      </c>
      <c r="O50" s="3" t="s">
        <v>265</v>
      </c>
    </row>
    <row r="51" customFormat="false" ht="15" hidden="false" customHeight="false" outlineLevel="0" collapsed="false">
      <c r="A51" s="5" t="n">
        <v>50</v>
      </c>
      <c r="B51" s="6" t="s">
        <v>266</v>
      </c>
      <c r="C51" s="6" t="s">
        <v>250</v>
      </c>
      <c r="D51" s="6" t="s">
        <v>267</v>
      </c>
      <c r="E51" s="6" t="s">
        <v>268</v>
      </c>
      <c r="F51" s="6" t="s">
        <v>269</v>
      </c>
      <c r="G51" s="6" t="s">
        <v>269</v>
      </c>
      <c r="H51" s="6" t="n">
        <v>30.73</v>
      </c>
      <c r="I51" s="6" t="n">
        <v>76.78</v>
      </c>
      <c r="J51" s="6" t="s">
        <v>21</v>
      </c>
      <c r="K51" s="5" t="n">
        <v>5.5</v>
      </c>
      <c r="L51" s="5" t="s">
        <v>22</v>
      </c>
      <c r="M51" s="4" t="s">
        <v>23</v>
      </c>
      <c r="N51" s="6" t="s">
        <v>51</v>
      </c>
      <c r="O51" s="6" t="s">
        <v>270</v>
      </c>
    </row>
    <row r="52" customFormat="false" ht="15" hidden="false" customHeight="false" outlineLevel="0" collapsed="false">
      <c r="A52" s="2" t="n">
        <v>51</v>
      </c>
      <c r="B52" s="3" t="s">
        <v>271</v>
      </c>
      <c r="C52" s="3" t="s">
        <v>250</v>
      </c>
      <c r="D52" s="3" t="s">
        <v>272</v>
      </c>
      <c r="E52" s="3" t="s">
        <v>273</v>
      </c>
      <c r="F52" s="3" t="s">
        <v>44</v>
      </c>
      <c r="G52" s="3" t="s">
        <v>45</v>
      </c>
      <c r="H52" s="3" t="n">
        <v>19.08</v>
      </c>
      <c r="I52" s="3" t="n">
        <v>72.88</v>
      </c>
      <c r="J52" s="3" t="s">
        <v>21</v>
      </c>
      <c r="K52" s="2" t="n">
        <v>5.5</v>
      </c>
      <c r="L52" s="2" t="s">
        <v>22</v>
      </c>
      <c r="M52" s="7" t="s">
        <v>38</v>
      </c>
      <c r="N52" s="3" t="s">
        <v>39</v>
      </c>
      <c r="O52" s="3" t="s">
        <v>274</v>
      </c>
    </row>
    <row r="53" customFormat="false" ht="15" hidden="false" customHeight="false" outlineLevel="0" collapsed="false">
      <c r="A53" s="5" t="n">
        <v>52</v>
      </c>
      <c r="B53" s="6" t="s">
        <v>275</v>
      </c>
      <c r="C53" s="6" t="s">
        <v>250</v>
      </c>
      <c r="D53" s="6" t="s">
        <v>276</v>
      </c>
      <c r="E53" s="6" t="s">
        <v>277</v>
      </c>
      <c r="F53" s="6" t="s">
        <v>278</v>
      </c>
      <c r="G53" s="6" t="s">
        <v>279</v>
      </c>
      <c r="H53" s="6" t="n">
        <v>22.57</v>
      </c>
      <c r="I53" s="6" t="n">
        <v>88.36</v>
      </c>
      <c r="J53" s="6" t="s">
        <v>21</v>
      </c>
      <c r="K53" s="5" t="n">
        <v>5.5</v>
      </c>
      <c r="L53" s="5" t="s">
        <v>22</v>
      </c>
      <c r="M53" s="7" t="s">
        <v>38</v>
      </c>
      <c r="N53" s="6" t="s">
        <v>39</v>
      </c>
      <c r="O53" s="6" t="s">
        <v>280</v>
      </c>
    </row>
    <row r="54" customFormat="false" ht="15" hidden="false" customHeight="false" outlineLevel="0" collapsed="false">
      <c r="A54" s="2" t="n">
        <v>53</v>
      </c>
      <c r="B54" s="3" t="s">
        <v>281</v>
      </c>
      <c r="C54" s="3" t="s">
        <v>250</v>
      </c>
      <c r="D54" s="3" t="s">
        <v>282</v>
      </c>
      <c r="E54" s="3" t="s">
        <v>283</v>
      </c>
      <c r="F54" s="3" t="s">
        <v>36</v>
      </c>
      <c r="G54" s="3" t="s">
        <v>37</v>
      </c>
      <c r="H54" s="3" t="n">
        <v>22.72</v>
      </c>
      <c r="I54" s="3" t="n">
        <v>75.86</v>
      </c>
      <c r="J54" s="3" t="s">
        <v>21</v>
      </c>
      <c r="K54" s="2" t="n">
        <v>5.5</v>
      </c>
      <c r="L54" s="2" t="s">
        <v>22</v>
      </c>
      <c r="M54" s="7" t="s">
        <v>38</v>
      </c>
      <c r="N54" s="3" t="s">
        <v>39</v>
      </c>
      <c r="O54" s="3" t="s">
        <v>284</v>
      </c>
    </row>
    <row r="55" customFormat="false" ht="15" hidden="false" customHeight="false" outlineLevel="0" collapsed="false">
      <c r="A55" s="5" t="n">
        <v>54</v>
      </c>
      <c r="B55" s="6" t="s">
        <v>285</v>
      </c>
      <c r="C55" s="6" t="s">
        <v>250</v>
      </c>
      <c r="D55" s="6" t="s">
        <v>286</v>
      </c>
      <c r="E55" s="6" t="s">
        <v>287</v>
      </c>
      <c r="F55" s="6" t="s">
        <v>269</v>
      </c>
      <c r="G55" s="6" t="s">
        <v>269</v>
      </c>
      <c r="H55" s="6" t="n">
        <v>30.73</v>
      </c>
      <c r="I55" s="6" t="n">
        <v>76.78</v>
      </c>
      <c r="J55" s="6" t="s">
        <v>21</v>
      </c>
      <c r="K55" s="5" t="n">
        <v>5.5</v>
      </c>
      <c r="L55" s="5" t="s">
        <v>22</v>
      </c>
      <c r="M55" s="7" t="s">
        <v>38</v>
      </c>
      <c r="N55" s="6" t="s">
        <v>39</v>
      </c>
      <c r="O55" s="6" t="s">
        <v>288</v>
      </c>
    </row>
    <row r="56" customFormat="false" ht="15" hidden="false" customHeight="false" outlineLevel="0" collapsed="false">
      <c r="A56" s="2" t="n">
        <v>55</v>
      </c>
      <c r="B56" s="3" t="s">
        <v>289</v>
      </c>
      <c r="C56" s="3" t="s">
        <v>250</v>
      </c>
      <c r="D56" s="3" t="s">
        <v>290</v>
      </c>
      <c r="E56" s="3" t="s">
        <v>102</v>
      </c>
      <c r="F56" s="3" t="s">
        <v>291</v>
      </c>
      <c r="G56" s="3" t="s">
        <v>199</v>
      </c>
      <c r="H56" s="3" t="n">
        <v>23.02</v>
      </c>
      <c r="I56" s="3" t="n">
        <v>72.57</v>
      </c>
      <c r="J56" s="3" t="s">
        <v>21</v>
      </c>
      <c r="K56" s="2" t="n">
        <v>5.5</v>
      </c>
      <c r="L56" s="2" t="s">
        <v>22</v>
      </c>
      <c r="M56" s="8" t="s">
        <v>97</v>
      </c>
      <c r="N56" s="3" t="s">
        <v>39</v>
      </c>
      <c r="O56" s="3" t="s">
        <v>292</v>
      </c>
    </row>
    <row r="57" customFormat="false" ht="15" hidden="false" customHeight="false" outlineLevel="0" collapsed="false">
      <c r="A57" s="5" t="n">
        <v>56</v>
      </c>
      <c r="B57" s="6" t="s">
        <v>293</v>
      </c>
      <c r="C57" s="6" t="s">
        <v>294</v>
      </c>
      <c r="D57" s="6" t="s">
        <v>295</v>
      </c>
      <c r="E57" s="6" t="s">
        <v>296</v>
      </c>
      <c r="F57" s="6" t="s">
        <v>297</v>
      </c>
      <c r="G57" s="6" t="s">
        <v>199</v>
      </c>
      <c r="H57" s="6" t="n">
        <v>21.02</v>
      </c>
      <c r="I57" s="6" t="n">
        <v>70.24</v>
      </c>
      <c r="J57" s="6" t="s">
        <v>21</v>
      </c>
      <c r="K57" s="5" t="n">
        <v>5.5</v>
      </c>
      <c r="L57" s="5" t="s">
        <v>22</v>
      </c>
      <c r="M57" s="4" t="s">
        <v>23</v>
      </c>
      <c r="N57" s="6" t="s">
        <v>51</v>
      </c>
      <c r="O57" s="6" t="s">
        <v>298</v>
      </c>
    </row>
    <row r="58" customFormat="false" ht="15" hidden="false" customHeight="false" outlineLevel="0" collapsed="false">
      <c r="A58" s="2" t="n">
        <v>57</v>
      </c>
      <c r="B58" s="3" t="s">
        <v>299</v>
      </c>
      <c r="C58" s="3" t="s">
        <v>294</v>
      </c>
      <c r="D58" s="3" t="s">
        <v>300</v>
      </c>
      <c r="E58" s="3" t="s">
        <v>268</v>
      </c>
      <c r="F58" s="3" t="s">
        <v>301</v>
      </c>
      <c r="G58" s="3" t="s">
        <v>302</v>
      </c>
      <c r="H58" s="3" t="n">
        <v>12.79</v>
      </c>
      <c r="I58" s="3" t="n">
        <v>45.04</v>
      </c>
      <c r="J58" s="3" t="s">
        <v>303</v>
      </c>
      <c r="K58" s="2" t="n">
        <v>3</v>
      </c>
      <c r="L58" s="2" t="s">
        <v>22</v>
      </c>
      <c r="M58" s="7" t="s">
        <v>38</v>
      </c>
      <c r="N58" s="3" t="s">
        <v>39</v>
      </c>
      <c r="O58" s="3" t="s">
        <v>304</v>
      </c>
    </row>
    <row r="59" customFormat="false" ht="15" hidden="false" customHeight="false" outlineLevel="0" collapsed="false">
      <c r="A59" s="5" t="n">
        <v>58</v>
      </c>
      <c r="B59" s="6" t="s">
        <v>305</v>
      </c>
      <c r="C59" s="6" t="s">
        <v>294</v>
      </c>
      <c r="D59" s="6" t="s">
        <v>306</v>
      </c>
      <c r="E59" s="6" t="s">
        <v>123</v>
      </c>
      <c r="F59" s="6" t="s">
        <v>44</v>
      </c>
      <c r="G59" s="6" t="s">
        <v>45</v>
      </c>
      <c r="H59" s="6" t="n">
        <v>19.08</v>
      </c>
      <c r="I59" s="6" t="n">
        <v>72.88</v>
      </c>
      <c r="J59" s="6" t="s">
        <v>21</v>
      </c>
      <c r="K59" s="5" t="n">
        <v>5.5</v>
      </c>
      <c r="L59" s="5" t="s">
        <v>22</v>
      </c>
      <c r="M59" s="7" t="s">
        <v>38</v>
      </c>
      <c r="N59" s="6" t="s">
        <v>39</v>
      </c>
      <c r="O59" s="6" t="s">
        <v>307</v>
      </c>
    </row>
    <row r="60" customFormat="false" ht="15" hidden="false" customHeight="false" outlineLevel="0" collapsed="false">
      <c r="A60" s="2" t="n">
        <v>59</v>
      </c>
      <c r="B60" s="3" t="s">
        <v>308</v>
      </c>
      <c r="C60" s="3" t="s">
        <v>294</v>
      </c>
      <c r="D60" s="3" t="s">
        <v>309</v>
      </c>
      <c r="E60" s="3" t="s">
        <v>102</v>
      </c>
      <c r="F60" s="3" t="s">
        <v>291</v>
      </c>
      <c r="G60" s="3" t="s">
        <v>199</v>
      </c>
      <c r="H60" s="3" t="n">
        <v>23.02</v>
      </c>
      <c r="I60" s="3" t="n">
        <v>72.57</v>
      </c>
      <c r="J60" s="3" t="s">
        <v>21</v>
      </c>
      <c r="K60" s="2" t="n">
        <v>5.5</v>
      </c>
      <c r="L60" s="2" t="s">
        <v>22</v>
      </c>
      <c r="M60" s="8" t="s">
        <v>97</v>
      </c>
      <c r="N60" s="3" t="s">
        <v>39</v>
      </c>
      <c r="O60" s="3" t="s">
        <v>310</v>
      </c>
    </row>
    <row r="61" customFormat="false" ht="15" hidden="false" customHeight="false" outlineLevel="0" collapsed="false">
      <c r="A61" s="5" t="n">
        <v>60</v>
      </c>
      <c r="B61" s="6" t="s">
        <v>311</v>
      </c>
      <c r="C61" s="6" t="s">
        <v>312</v>
      </c>
      <c r="D61" s="6" t="s">
        <v>313</v>
      </c>
      <c r="E61" s="6" t="s">
        <v>314</v>
      </c>
      <c r="F61" s="6" t="s">
        <v>44</v>
      </c>
      <c r="G61" s="6" t="s">
        <v>45</v>
      </c>
      <c r="H61" s="6" t="n">
        <v>19.08</v>
      </c>
      <c r="I61" s="6" t="n">
        <v>72.88</v>
      </c>
      <c r="J61" s="6" t="s">
        <v>21</v>
      </c>
      <c r="K61" s="5" t="n">
        <v>5.5</v>
      </c>
      <c r="L61" s="5" t="s">
        <v>130</v>
      </c>
      <c r="M61" s="8" t="s">
        <v>97</v>
      </c>
      <c r="N61" s="6" t="s">
        <v>39</v>
      </c>
      <c r="O61" s="6" t="s">
        <v>315</v>
      </c>
    </row>
    <row r="62" customFormat="false" ht="15" hidden="false" customHeight="false" outlineLevel="0" collapsed="false">
      <c r="A62" s="2" t="n">
        <v>61</v>
      </c>
      <c r="B62" s="3" t="s">
        <v>316</v>
      </c>
      <c r="C62" s="3" t="s">
        <v>317</v>
      </c>
      <c r="D62" s="3" t="s">
        <v>318</v>
      </c>
      <c r="E62" s="3" t="s">
        <v>319</v>
      </c>
      <c r="F62" s="3" t="s">
        <v>36</v>
      </c>
      <c r="G62" s="3" t="s">
        <v>37</v>
      </c>
      <c r="H62" s="3" t="n">
        <v>22.72</v>
      </c>
      <c r="I62" s="3" t="n">
        <v>75.86</v>
      </c>
      <c r="J62" s="3" t="s">
        <v>21</v>
      </c>
      <c r="K62" s="2" t="n">
        <v>5.5</v>
      </c>
      <c r="L62" s="2" t="s">
        <v>130</v>
      </c>
      <c r="M62" s="4" t="s">
        <v>23</v>
      </c>
      <c r="N62" s="3" t="s">
        <v>131</v>
      </c>
      <c r="O62" s="3" t="s">
        <v>320</v>
      </c>
    </row>
    <row r="63" customFormat="false" ht="15" hidden="false" customHeight="false" outlineLevel="0" collapsed="false">
      <c r="A63" s="5" t="n">
        <v>62</v>
      </c>
      <c r="B63" s="6" t="s">
        <v>321</v>
      </c>
      <c r="C63" s="6" t="s">
        <v>322</v>
      </c>
      <c r="D63" s="6" t="s">
        <v>323</v>
      </c>
      <c r="E63" s="6" t="s">
        <v>50</v>
      </c>
      <c r="F63" s="6" t="s">
        <v>166</v>
      </c>
      <c r="G63" s="6" t="s">
        <v>79</v>
      </c>
      <c r="H63" s="6" t="n">
        <v>13.08</v>
      </c>
      <c r="I63" s="6" t="n">
        <v>80.27</v>
      </c>
      <c r="J63" s="6" t="s">
        <v>21</v>
      </c>
      <c r="K63" s="5" t="n">
        <v>5.5</v>
      </c>
      <c r="L63" s="5" t="s">
        <v>22</v>
      </c>
      <c r="M63" s="7" t="s">
        <v>38</v>
      </c>
      <c r="N63" s="6" t="s">
        <v>39</v>
      </c>
      <c r="O63" s="6" t="s">
        <v>324</v>
      </c>
    </row>
    <row r="64" customFormat="false" ht="15" hidden="false" customHeight="false" outlineLevel="0" collapsed="false">
      <c r="A64" s="2" t="n">
        <v>63</v>
      </c>
      <c r="B64" s="3" t="s">
        <v>325</v>
      </c>
      <c r="C64" s="3" t="s">
        <v>326</v>
      </c>
      <c r="D64" s="3" t="s">
        <v>327</v>
      </c>
      <c r="E64" s="3" t="s">
        <v>96</v>
      </c>
      <c r="F64" s="3" t="s">
        <v>328</v>
      </c>
      <c r="G64" s="3" t="s">
        <v>37</v>
      </c>
      <c r="H64" s="3" t="n">
        <v>21.83</v>
      </c>
      <c r="I64" s="3" t="n">
        <v>76.35</v>
      </c>
      <c r="J64" s="3" t="s">
        <v>21</v>
      </c>
      <c r="K64" s="2" t="n">
        <v>5.5</v>
      </c>
      <c r="L64" s="2" t="s">
        <v>22</v>
      </c>
      <c r="M64" s="7" t="s">
        <v>38</v>
      </c>
      <c r="N64" s="3" t="s">
        <v>39</v>
      </c>
      <c r="O64" s="3" t="s">
        <v>329</v>
      </c>
    </row>
    <row r="65" customFormat="false" ht="15" hidden="false" customHeight="false" outlineLevel="0" collapsed="false">
      <c r="A65" s="5" t="n">
        <v>64</v>
      </c>
      <c r="B65" s="6" t="s">
        <v>330</v>
      </c>
      <c r="C65" s="6" t="s">
        <v>317</v>
      </c>
      <c r="D65" s="6" t="s">
        <v>331</v>
      </c>
      <c r="E65" s="6" t="s">
        <v>96</v>
      </c>
      <c r="F65" s="6" t="s">
        <v>332</v>
      </c>
      <c r="G65" s="6" t="s">
        <v>279</v>
      </c>
      <c r="H65" s="6" t="n">
        <v>24.23</v>
      </c>
      <c r="I65" s="6" t="n">
        <v>88.27</v>
      </c>
      <c r="J65" s="6" t="s">
        <v>21</v>
      </c>
      <c r="K65" s="5" t="n">
        <v>5.5</v>
      </c>
      <c r="L65" s="5" t="s">
        <v>22</v>
      </c>
      <c r="M65" s="8" t="s">
        <v>97</v>
      </c>
      <c r="N65" s="6" t="s">
        <v>39</v>
      </c>
      <c r="O65" s="6" t="s">
        <v>333</v>
      </c>
    </row>
    <row r="66" customFormat="false" ht="15" hidden="false" customHeight="false" outlineLevel="0" collapsed="false">
      <c r="A66" s="2" t="n">
        <v>65</v>
      </c>
      <c r="B66" s="3" t="s">
        <v>334</v>
      </c>
      <c r="C66" s="3" t="s">
        <v>317</v>
      </c>
      <c r="D66" s="3" t="s">
        <v>335</v>
      </c>
      <c r="E66" s="3" t="s">
        <v>268</v>
      </c>
      <c r="F66" s="3" t="s">
        <v>336</v>
      </c>
      <c r="G66" s="3" t="s">
        <v>279</v>
      </c>
      <c r="H66" s="3" t="n">
        <v>24.09</v>
      </c>
      <c r="I66" s="3" t="n">
        <v>88.25</v>
      </c>
      <c r="J66" s="3" t="s">
        <v>21</v>
      </c>
      <c r="K66" s="2" t="n">
        <v>5.5</v>
      </c>
      <c r="L66" s="2" t="s">
        <v>130</v>
      </c>
      <c r="M66" s="7" t="s">
        <v>38</v>
      </c>
      <c r="N66" s="3" t="s">
        <v>39</v>
      </c>
      <c r="O66" s="3" t="s">
        <v>337</v>
      </c>
    </row>
    <row r="67" customFormat="false" ht="15" hidden="false" customHeight="false" outlineLevel="0" collapsed="false">
      <c r="A67" s="5" t="n">
        <v>66</v>
      </c>
      <c r="B67" s="6" t="s">
        <v>338</v>
      </c>
      <c r="C67" s="6" t="s">
        <v>339</v>
      </c>
      <c r="D67" s="6" t="s">
        <v>340</v>
      </c>
      <c r="E67" s="6" t="s">
        <v>341</v>
      </c>
      <c r="F67" s="6" t="s">
        <v>278</v>
      </c>
      <c r="G67" s="6" t="s">
        <v>279</v>
      </c>
      <c r="H67" s="6" t="n">
        <v>22.57</v>
      </c>
      <c r="I67" s="6" t="n">
        <v>88.36</v>
      </c>
      <c r="J67" s="6" t="s">
        <v>21</v>
      </c>
      <c r="K67" s="5" t="n">
        <v>5.5</v>
      </c>
      <c r="L67" s="5" t="s">
        <v>22</v>
      </c>
      <c r="M67" s="4" t="s">
        <v>23</v>
      </c>
      <c r="N67" s="6" t="s">
        <v>342</v>
      </c>
      <c r="O67" s="6" t="s">
        <v>343</v>
      </c>
    </row>
    <row r="68" customFormat="false" ht="15" hidden="false" customHeight="false" outlineLevel="0" collapsed="false">
      <c r="A68" s="2" t="n">
        <v>67</v>
      </c>
      <c r="B68" s="3" t="s">
        <v>344</v>
      </c>
      <c r="C68" s="3" t="s">
        <v>339</v>
      </c>
      <c r="D68" s="3" t="s">
        <v>345</v>
      </c>
      <c r="E68" s="3" t="s">
        <v>346</v>
      </c>
      <c r="F68" s="3" t="s">
        <v>44</v>
      </c>
      <c r="G68" s="3" t="s">
        <v>45</v>
      </c>
      <c r="H68" s="3" t="n">
        <v>19.08</v>
      </c>
      <c r="I68" s="3" t="n">
        <v>72.88</v>
      </c>
      <c r="J68" s="3" t="s">
        <v>21</v>
      </c>
      <c r="K68" s="2" t="n">
        <v>5.5</v>
      </c>
      <c r="L68" s="2" t="s">
        <v>22</v>
      </c>
      <c r="M68" s="8" t="s">
        <v>97</v>
      </c>
      <c r="N68" s="3" t="s">
        <v>39</v>
      </c>
      <c r="O68" s="3" t="s">
        <v>347</v>
      </c>
    </row>
    <row r="69" customFormat="false" ht="15" hidden="false" customHeight="false" outlineLevel="0" collapsed="false">
      <c r="A69" s="5" t="n">
        <v>68</v>
      </c>
      <c r="B69" s="6" t="s">
        <v>348</v>
      </c>
      <c r="C69" s="6" t="s">
        <v>339</v>
      </c>
      <c r="D69" s="6" t="s">
        <v>349</v>
      </c>
      <c r="E69" s="6" t="s">
        <v>96</v>
      </c>
      <c r="F69" s="6" t="s">
        <v>44</v>
      </c>
      <c r="G69" s="6" t="s">
        <v>45</v>
      </c>
      <c r="H69" s="6" t="n">
        <v>19.08</v>
      </c>
      <c r="I69" s="6" t="n">
        <v>72.88</v>
      </c>
      <c r="J69" s="6" t="s">
        <v>21</v>
      </c>
      <c r="K69" s="5" t="n">
        <v>5.5</v>
      </c>
      <c r="L69" s="5" t="s">
        <v>22</v>
      </c>
      <c r="M69" s="8" t="s">
        <v>97</v>
      </c>
      <c r="N69" s="6" t="s">
        <v>39</v>
      </c>
      <c r="O69" s="6" t="s">
        <v>350</v>
      </c>
    </row>
    <row r="70" customFormat="false" ht="15" hidden="false" customHeight="false" outlineLevel="0" collapsed="false">
      <c r="A70" s="2" t="n">
        <v>69</v>
      </c>
      <c r="B70" s="3" t="s">
        <v>351</v>
      </c>
      <c r="C70" s="3" t="s">
        <v>339</v>
      </c>
      <c r="D70" s="3" t="s">
        <v>352</v>
      </c>
      <c r="E70" s="3" t="s">
        <v>102</v>
      </c>
      <c r="F70" s="3" t="s">
        <v>264</v>
      </c>
      <c r="G70" s="3" t="s">
        <v>45</v>
      </c>
      <c r="H70" s="3" t="n">
        <v>21.15</v>
      </c>
      <c r="I70" s="3" t="n">
        <v>79.09</v>
      </c>
      <c r="J70" s="3" t="s">
        <v>21</v>
      </c>
      <c r="K70" s="2" t="n">
        <v>5.5</v>
      </c>
      <c r="L70" s="2" t="s">
        <v>22</v>
      </c>
      <c r="M70" s="8" t="s">
        <v>97</v>
      </c>
      <c r="N70" s="3" t="s">
        <v>39</v>
      </c>
      <c r="O70" s="3" t="s">
        <v>353</v>
      </c>
    </row>
    <row r="71" customFormat="false" ht="15" hidden="false" customHeight="false" outlineLevel="0" collapsed="false">
      <c r="A71" s="5" t="n">
        <v>70</v>
      </c>
      <c r="B71" s="6" t="s">
        <v>354</v>
      </c>
      <c r="C71" s="6" t="s">
        <v>339</v>
      </c>
      <c r="D71" s="6" t="s">
        <v>355</v>
      </c>
      <c r="E71" s="6" t="s">
        <v>356</v>
      </c>
      <c r="F71" s="6" t="s">
        <v>357</v>
      </c>
      <c r="G71" s="6" t="s">
        <v>72</v>
      </c>
      <c r="H71" s="6" t="n">
        <v>16.21</v>
      </c>
      <c r="I71" s="6" t="n">
        <v>77.36</v>
      </c>
      <c r="J71" s="6" t="s">
        <v>21</v>
      </c>
      <c r="K71" s="5" t="n">
        <v>5.5</v>
      </c>
      <c r="L71" s="5" t="s">
        <v>22</v>
      </c>
      <c r="M71" s="7" t="s">
        <v>38</v>
      </c>
      <c r="N71" s="6" t="s">
        <v>39</v>
      </c>
      <c r="O71" s="6" t="s">
        <v>358</v>
      </c>
    </row>
    <row r="72" customFormat="false" ht="15" hidden="false" customHeight="false" outlineLevel="0" collapsed="false">
      <c r="A72" s="2" t="n">
        <v>71</v>
      </c>
      <c r="B72" s="3" t="s">
        <v>359</v>
      </c>
      <c r="C72" s="3" t="s">
        <v>242</v>
      </c>
      <c r="D72" s="3" t="s">
        <v>360</v>
      </c>
      <c r="E72" s="3" t="s">
        <v>361</v>
      </c>
      <c r="F72" s="3" t="s">
        <v>362</v>
      </c>
      <c r="G72" s="3" t="s">
        <v>199</v>
      </c>
      <c r="H72" s="3" t="n">
        <v>21.64</v>
      </c>
      <c r="I72" s="3" t="n">
        <v>69.6</v>
      </c>
      <c r="J72" s="3" t="s">
        <v>21</v>
      </c>
      <c r="K72" s="2" t="n">
        <v>5.5</v>
      </c>
      <c r="L72" s="2" t="s">
        <v>22</v>
      </c>
      <c r="M72" s="4" t="s">
        <v>23</v>
      </c>
      <c r="N72" s="3" t="s">
        <v>205</v>
      </c>
      <c r="O72" s="3" t="s">
        <v>363</v>
      </c>
    </row>
    <row r="73" customFormat="false" ht="15" hidden="false" customHeight="false" outlineLevel="0" collapsed="false">
      <c r="A73" s="5" t="n">
        <v>72</v>
      </c>
      <c r="B73" s="6" t="s">
        <v>364</v>
      </c>
      <c r="C73" s="6" t="s">
        <v>365</v>
      </c>
      <c r="D73" s="6" t="s">
        <v>366</v>
      </c>
      <c r="E73" s="6" t="s">
        <v>367</v>
      </c>
      <c r="F73" s="6" t="s">
        <v>278</v>
      </c>
      <c r="G73" s="6" t="s">
        <v>279</v>
      </c>
      <c r="H73" s="6" t="n">
        <v>22.57</v>
      </c>
      <c r="I73" s="6" t="n">
        <v>88.36</v>
      </c>
      <c r="J73" s="6" t="s">
        <v>21</v>
      </c>
      <c r="K73" s="5" t="n">
        <v>5.5</v>
      </c>
      <c r="L73" s="5" t="s">
        <v>22</v>
      </c>
      <c r="M73" s="4" t="s">
        <v>23</v>
      </c>
      <c r="N73" s="6" t="s">
        <v>247</v>
      </c>
      <c r="O73" s="6" t="s">
        <v>368</v>
      </c>
    </row>
    <row r="74" customFormat="false" ht="15" hidden="false" customHeight="false" outlineLevel="0" collapsed="false">
      <c r="A74" s="2" t="n">
        <v>73</v>
      </c>
      <c r="B74" s="3" t="s">
        <v>369</v>
      </c>
      <c r="C74" s="3" t="s">
        <v>365</v>
      </c>
      <c r="D74" s="3" t="s">
        <v>370</v>
      </c>
      <c r="E74" s="3" t="s">
        <v>102</v>
      </c>
      <c r="F74" s="3" t="s">
        <v>371</v>
      </c>
      <c r="G74" s="3" t="s">
        <v>45</v>
      </c>
      <c r="H74" s="3" t="n">
        <v>19.27</v>
      </c>
      <c r="I74" s="3" t="n">
        <v>76.44</v>
      </c>
      <c r="J74" s="3" t="s">
        <v>21</v>
      </c>
      <c r="K74" s="2" t="n">
        <v>5.5</v>
      </c>
      <c r="L74" s="2" t="s">
        <v>22</v>
      </c>
      <c r="M74" s="8" t="s">
        <v>97</v>
      </c>
      <c r="N74" s="3" t="s">
        <v>372</v>
      </c>
      <c r="O74" s="3" t="s">
        <v>373</v>
      </c>
    </row>
    <row r="75" customFormat="false" ht="15" hidden="false" customHeight="false" outlineLevel="0" collapsed="false">
      <c r="A75" s="5" t="n">
        <v>74</v>
      </c>
      <c r="B75" s="6" t="s">
        <v>374</v>
      </c>
      <c r="C75" s="6" t="s">
        <v>375</v>
      </c>
      <c r="D75" s="6" t="s">
        <v>376</v>
      </c>
      <c r="E75" s="6" t="s">
        <v>377</v>
      </c>
      <c r="F75" s="6" t="s">
        <v>378</v>
      </c>
      <c r="G75" s="6" t="s">
        <v>37</v>
      </c>
      <c r="H75" s="6" t="n">
        <v>22.55</v>
      </c>
      <c r="I75" s="6" t="n">
        <v>75.76</v>
      </c>
      <c r="J75" s="6" t="s">
        <v>21</v>
      </c>
      <c r="K75" s="5" t="n">
        <v>5.5</v>
      </c>
      <c r="L75" s="5" t="s">
        <v>22</v>
      </c>
      <c r="M75" s="7" t="s">
        <v>38</v>
      </c>
      <c r="N75" s="6" t="s">
        <v>379</v>
      </c>
      <c r="O75" s="6" t="s">
        <v>380</v>
      </c>
    </row>
    <row r="76" customFormat="false" ht="15" hidden="false" customHeight="false" outlineLevel="0" collapsed="false">
      <c r="A76" s="2" t="n">
        <v>75</v>
      </c>
      <c r="B76" s="3" t="s">
        <v>381</v>
      </c>
      <c r="C76" s="3" t="s">
        <v>382</v>
      </c>
      <c r="D76" s="3" t="s">
        <v>383</v>
      </c>
      <c r="E76" s="3" t="s">
        <v>384</v>
      </c>
      <c r="F76" s="3" t="s">
        <v>278</v>
      </c>
      <c r="G76" s="3" t="s">
        <v>279</v>
      </c>
      <c r="H76" s="3" t="n">
        <v>22.57</v>
      </c>
      <c r="I76" s="3" t="n">
        <v>88.36</v>
      </c>
      <c r="J76" s="3" t="s">
        <v>21</v>
      </c>
      <c r="K76" s="2" t="n">
        <v>5.5</v>
      </c>
      <c r="L76" s="2" t="s">
        <v>22</v>
      </c>
      <c r="M76" s="4" t="s">
        <v>23</v>
      </c>
      <c r="N76" s="3" t="s">
        <v>214</v>
      </c>
      <c r="O76" s="3" t="s">
        <v>385</v>
      </c>
    </row>
    <row r="77" customFormat="false" ht="15" hidden="false" customHeight="false" outlineLevel="0" collapsed="false">
      <c r="A77" s="5" t="n">
        <v>76</v>
      </c>
      <c r="B77" s="6" t="s">
        <v>386</v>
      </c>
      <c r="C77" s="6" t="s">
        <v>387</v>
      </c>
      <c r="D77" s="6" t="s">
        <v>388</v>
      </c>
      <c r="E77" s="6" t="s">
        <v>102</v>
      </c>
      <c r="F77" s="6" t="s">
        <v>166</v>
      </c>
      <c r="G77" s="6" t="s">
        <v>79</v>
      </c>
      <c r="H77" s="6" t="n">
        <v>13.08</v>
      </c>
      <c r="I77" s="6" t="n">
        <v>80.27</v>
      </c>
      <c r="J77" s="6" t="s">
        <v>21</v>
      </c>
      <c r="K77" s="5" t="n">
        <v>5.5</v>
      </c>
      <c r="L77" s="5" t="s">
        <v>22</v>
      </c>
      <c r="M77" s="8" t="s">
        <v>97</v>
      </c>
      <c r="N77" s="6" t="s">
        <v>39</v>
      </c>
      <c r="O77" s="6" t="s">
        <v>389</v>
      </c>
    </row>
    <row r="78" customFormat="false" ht="15" hidden="false" customHeight="false" outlineLevel="0" collapsed="false">
      <c r="A78" s="2" t="n">
        <v>77</v>
      </c>
      <c r="B78" s="3" t="s">
        <v>390</v>
      </c>
      <c r="C78" s="3" t="s">
        <v>387</v>
      </c>
      <c r="D78" s="3" t="s">
        <v>391</v>
      </c>
      <c r="E78" s="3" t="s">
        <v>392</v>
      </c>
      <c r="F78" s="3" t="s">
        <v>166</v>
      </c>
      <c r="G78" s="3" t="s">
        <v>79</v>
      </c>
      <c r="H78" s="3" t="n">
        <v>13.08</v>
      </c>
      <c r="I78" s="3" t="n">
        <v>80.27</v>
      </c>
      <c r="J78" s="3" t="s">
        <v>21</v>
      </c>
      <c r="K78" s="2" t="n">
        <v>5.5</v>
      </c>
      <c r="L78" s="2" t="s">
        <v>22</v>
      </c>
      <c r="M78" s="8" t="s">
        <v>97</v>
      </c>
      <c r="N78" s="3" t="s">
        <v>39</v>
      </c>
      <c r="O78" s="3" t="s">
        <v>393</v>
      </c>
    </row>
    <row r="79" customFormat="false" ht="15" hidden="false" customHeight="false" outlineLevel="0" collapsed="false">
      <c r="A79" s="5" t="n">
        <v>78</v>
      </c>
      <c r="B79" s="6" t="s">
        <v>394</v>
      </c>
      <c r="C79" s="6" t="s">
        <v>387</v>
      </c>
      <c r="D79" s="6" t="s">
        <v>395</v>
      </c>
      <c r="E79" s="6" t="s">
        <v>107</v>
      </c>
      <c r="F79" s="6" t="s">
        <v>166</v>
      </c>
      <c r="G79" s="6" t="s">
        <v>79</v>
      </c>
      <c r="H79" s="6" t="n">
        <v>13.08</v>
      </c>
      <c r="I79" s="6" t="n">
        <v>80.27</v>
      </c>
      <c r="J79" s="6" t="s">
        <v>21</v>
      </c>
      <c r="K79" s="5" t="n">
        <v>5.5</v>
      </c>
      <c r="L79" s="5" t="s">
        <v>22</v>
      </c>
      <c r="M79" s="7" t="s">
        <v>38</v>
      </c>
      <c r="N79" s="6" t="s">
        <v>39</v>
      </c>
      <c r="O79" s="6" t="s">
        <v>396</v>
      </c>
    </row>
    <row r="80" customFormat="false" ht="15" hidden="false" customHeight="false" outlineLevel="0" collapsed="false">
      <c r="A80" s="2" t="n">
        <v>79</v>
      </c>
      <c r="B80" s="3" t="s">
        <v>397</v>
      </c>
      <c r="C80" s="3" t="s">
        <v>387</v>
      </c>
      <c r="D80" s="3" t="s">
        <v>398</v>
      </c>
      <c r="E80" s="3" t="s">
        <v>142</v>
      </c>
      <c r="F80" s="3" t="s">
        <v>166</v>
      </c>
      <c r="G80" s="3" t="s">
        <v>79</v>
      </c>
      <c r="H80" s="3" t="n">
        <v>13.08</v>
      </c>
      <c r="I80" s="3" t="n">
        <v>80.27</v>
      </c>
      <c r="J80" s="3" t="s">
        <v>21</v>
      </c>
      <c r="K80" s="2" t="n">
        <v>5.5</v>
      </c>
      <c r="L80" s="2" t="s">
        <v>22</v>
      </c>
      <c r="M80" s="8" t="s">
        <v>97</v>
      </c>
      <c r="N80" s="3" t="s">
        <v>39</v>
      </c>
      <c r="O80" s="3" t="s">
        <v>399</v>
      </c>
    </row>
    <row r="81" customFormat="false" ht="15" hidden="false" customHeight="false" outlineLevel="0" collapsed="false">
      <c r="A81" s="5" t="n">
        <v>80</v>
      </c>
      <c r="B81" s="6" t="s">
        <v>400</v>
      </c>
      <c r="C81" s="6" t="s">
        <v>387</v>
      </c>
      <c r="D81" s="6" t="s">
        <v>401</v>
      </c>
      <c r="E81" s="6" t="s">
        <v>102</v>
      </c>
      <c r="F81" s="6" t="s">
        <v>402</v>
      </c>
      <c r="G81" s="6" t="s">
        <v>403</v>
      </c>
      <c r="H81" s="6" t="n">
        <v>17.38</v>
      </c>
      <c r="I81" s="6" t="n">
        <v>78.49</v>
      </c>
      <c r="J81" s="6" t="s">
        <v>21</v>
      </c>
      <c r="K81" s="5" t="n">
        <v>5.5</v>
      </c>
      <c r="L81" s="5" t="s">
        <v>22</v>
      </c>
      <c r="M81" s="8" t="s">
        <v>97</v>
      </c>
      <c r="N81" s="6" t="s">
        <v>39</v>
      </c>
      <c r="O81" s="6" t="s">
        <v>404</v>
      </c>
    </row>
    <row r="82" customFormat="false" ht="15" hidden="false" customHeight="false" outlineLevel="0" collapsed="false">
      <c r="A82" s="2" t="n">
        <v>81</v>
      </c>
      <c r="B82" s="3" t="s">
        <v>405</v>
      </c>
      <c r="C82" s="3" t="s">
        <v>68</v>
      </c>
      <c r="D82" s="3" t="s">
        <v>406</v>
      </c>
      <c r="E82" s="3" t="s">
        <v>407</v>
      </c>
      <c r="F82" s="3" t="s">
        <v>166</v>
      </c>
      <c r="G82" s="3" t="s">
        <v>79</v>
      </c>
      <c r="H82" s="3" t="n">
        <v>13.08</v>
      </c>
      <c r="I82" s="3" t="n">
        <v>80.27</v>
      </c>
      <c r="J82" s="3" t="s">
        <v>21</v>
      </c>
      <c r="K82" s="2" t="n">
        <v>5.5</v>
      </c>
      <c r="L82" s="2" t="s">
        <v>22</v>
      </c>
      <c r="M82" s="7" t="s">
        <v>38</v>
      </c>
      <c r="N82" s="3" t="s">
        <v>39</v>
      </c>
      <c r="O82" s="3" t="s">
        <v>408</v>
      </c>
    </row>
    <row r="83" customFormat="false" ht="15" hidden="false" customHeight="false" outlineLevel="0" collapsed="false">
      <c r="A83" s="5" t="n">
        <v>82</v>
      </c>
      <c r="B83" s="6" t="s">
        <v>409</v>
      </c>
      <c r="C83" s="6" t="s">
        <v>410</v>
      </c>
      <c r="D83" s="6" t="s">
        <v>411</v>
      </c>
      <c r="E83" s="6" t="s">
        <v>412</v>
      </c>
      <c r="F83" s="6" t="s">
        <v>413</v>
      </c>
      <c r="G83" s="6" t="s">
        <v>414</v>
      </c>
      <c r="H83" s="6" t="n">
        <v>9.29</v>
      </c>
      <c r="I83" s="6" t="n">
        <v>76.68</v>
      </c>
      <c r="J83" s="6" t="s">
        <v>21</v>
      </c>
      <c r="K83" s="5" t="n">
        <v>5.5</v>
      </c>
      <c r="L83" s="5" t="s">
        <v>22</v>
      </c>
      <c r="M83" s="7" t="s">
        <v>38</v>
      </c>
      <c r="N83" s="6" t="s">
        <v>39</v>
      </c>
      <c r="O83" s="6" t="s">
        <v>415</v>
      </c>
    </row>
    <row r="84" customFormat="false" ht="15" hidden="false" customHeight="false" outlineLevel="0" collapsed="false">
      <c r="A84" s="2" t="n">
        <v>83</v>
      </c>
      <c r="B84" s="3" t="s">
        <v>416</v>
      </c>
      <c r="C84" s="3" t="s">
        <v>410</v>
      </c>
      <c r="D84" s="3" t="s">
        <v>417</v>
      </c>
      <c r="E84" s="3" t="s">
        <v>418</v>
      </c>
      <c r="F84" s="3" t="s">
        <v>419</v>
      </c>
      <c r="G84" s="3" t="s">
        <v>414</v>
      </c>
      <c r="H84" s="3" t="n">
        <v>9.9</v>
      </c>
      <c r="I84" s="3" t="n">
        <v>76.32</v>
      </c>
      <c r="J84" s="3" t="s">
        <v>21</v>
      </c>
      <c r="K84" s="2" t="n">
        <v>5.5</v>
      </c>
      <c r="L84" s="2" t="s">
        <v>22</v>
      </c>
      <c r="M84" s="7" t="s">
        <v>38</v>
      </c>
      <c r="N84" s="3" t="s">
        <v>39</v>
      </c>
      <c r="O84" s="3" t="s">
        <v>420</v>
      </c>
    </row>
    <row r="85" customFormat="false" ht="15" hidden="false" customHeight="false" outlineLevel="0" collapsed="false">
      <c r="A85" s="5" t="n">
        <v>84</v>
      </c>
      <c r="B85" s="6" t="s">
        <v>421</v>
      </c>
      <c r="C85" s="6" t="s">
        <v>422</v>
      </c>
      <c r="D85" s="6" t="s">
        <v>423</v>
      </c>
      <c r="E85" s="6" t="s">
        <v>424</v>
      </c>
      <c r="F85" s="6" t="s">
        <v>425</v>
      </c>
      <c r="G85" s="6" t="s">
        <v>72</v>
      </c>
      <c r="H85" s="6" t="n">
        <v>13.32</v>
      </c>
      <c r="I85" s="6" t="n">
        <v>76.4</v>
      </c>
      <c r="J85" s="6" t="s">
        <v>21</v>
      </c>
      <c r="K85" s="5" t="n">
        <v>5.5</v>
      </c>
      <c r="L85" s="5" t="s">
        <v>22</v>
      </c>
      <c r="M85" s="8" t="s">
        <v>97</v>
      </c>
      <c r="N85" s="6" t="s">
        <v>39</v>
      </c>
      <c r="O85" s="6" t="s">
        <v>426</v>
      </c>
    </row>
    <row r="86" customFormat="false" ht="15" hidden="false" customHeight="false" outlineLevel="0" collapsed="false">
      <c r="A86" s="2" t="n">
        <v>85</v>
      </c>
      <c r="B86" s="3" t="s">
        <v>427</v>
      </c>
      <c r="C86" s="3" t="s">
        <v>387</v>
      </c>
      <c r="D86" s="3" t="s">
        <v>428</v>
      </c>
      <c r="E86" s="3" t="s">
        <v>429</v>
      </c>
      <c r="F86" s="3" t="s">
        <v>430</v>
      </c>
      <c r="G86" s="3" t="s">
        <v>431</v>
      </c>
      <c r="H86" s="3" t="n">
        <v>16.54</v>
      </c>
      <c r="I86" s="3" t="n">
        <v>81.59</v>
      </c>
      <c r="J86" s="3" t="s">
        <v>21</v>
      </c>
      <c r="K86" s="2" t="n">
        <v>5.5</v>
      </c>
      <c r="L86" s="2" t="s">
        <v>22</v>
      </c>
      <c r="M86" s="7" t="s">
        <v>38</v>
      </c>
      <c r="N86" s="3" t="s">
        <v>39</v>
      </c>
      <c r="O86" s="3" t="s">
        <v>432</v>
      </c>
    </row>
    <row r="87" customFormat="false" ht="15" hidden="false" customHeight="false" outlineLevel="0" collapsed="false">
      <c r="A87" s="5" t="n">
        <v>86</v>
      </c>
      <c r="B87" s="6" t="s">
        <v>433</v>
      </c>
      <c r="C87" s="6" t="s">
        <v>434</v>
      </c>
      <c r="D87" s="6" t="s">
        <v>435</v>
      </c>
      <c r="E87" s="6" t="s">
        <v>268</v>
      </c>
      <c r="F87" s="6" t="s">
        <v>402</v>
      </c>
      <c r="G87" s="6" t="s">
        <v>403</v>
      </c>
      <c r="H87" s="6" t="n">
        <v>17.38</v>
      </c>
      <c r="I87" s="6" t="n">
        <v>78.49</v>
      </c>
      <c r="J87" s="6" t="s">
        <v>21</v>
      </c>
      <c r="K87" s="5" t="n">
        <v>5.5</v>
      </c>
      <c r="L87" s="5" t="s">
        <v>130</v>
      </c>
      <c r="M87" s="8" t="s">
        <v>97</v>
      </c>
      <c r="N87" s="6" t="s">
        <v>39</v>
      </c>
      <c r="O87" s="6" t="s">
        <v>436</v>
      </c>
    </row>
    <row r="88" customFormat="false" ht="15" hidden="false" customHeight="false" outlineLevel="0" collapsed="false">
      <c r="A88" s="2" t="n">
        <v>87</v>
      </c>
      <c r="B88" s="3" t="s">
        <v>437</v>
      </c>
      <c r="C88" s="3" t="s">
        <v>434</v>
      </c>
      <c r="D88" s="3" t="s">
        <v>438</v>
      </c>
      <c r="E88" s="3" t="s">
        <v>273</v>
      </c>
      <c r="F88" s="3" t="s">
        <v>439</v>
      </c>
      <c r="G88" s="3" t="s">
        <v>234</v>
      </c>
      <c r="H88" s="3" t="n">
        <v>29.17</v>
      </c>
      <c r="I88" s="3" t="n">
        <v>75.72</v>
      </c>
      <c r="J88" s="3" t="s">
        <v>21</v>
      </c>
      <c r="K88" s="2" t="n">
        <v>5.5</v>
      </c>
      <c r="L88" s="2" t="s">
        <v>130</v>
      </c>
      <c r="M88" s="8" t="s">
        <v>97</v>
      </c>
      <c r="N88" s="3" t="s">
        <v>39</v>
      </c>
      <c r="O88" s="3" t="s">
        <v>440</v>
      </c>
    </row>
    <row r="89" customFormat="false" ht="15" hidden="false" customHeight="false" outlineLevel="0" collapsed="false">
      <c r="A89" s="5" t="n">
        <v>88</v>
      </c>
      <c r="B89" s="6" t="s">
        <v>441</v>
      </c>
      <c r="C89" s="6" t="s">
        <v>442</v>
      </c>
      <c r="D89" s="6" t="s">
        <v>443</v>
      </c>
      <c r="E89" s="6" t="s">
        <v>102</v>
      </c>
      <c r="F89" s="6" t="s">
        <v>444</v>
      </c>
      <c r="G89" s="6" t="s">
        <v>445</v>
      </c>
      <c r="H89" s="6" t="n">
        <v>24.58</v>
      </c>
      <c r="I89" s="6" t="n">
        <v>93.91</v>
      </c>
      <c r="J89" s="6" t="s">
        <v>21</v>
      </c>
      <c r="K89" s="5" t="n">
        <v>5.5</v>
      </c>
      <c r="L89" s="5" t="s">
        <v>130</v>
      </c>
      <c r="M89" s="8" t="s">
        <v>97</v>
      </c>
      <c r="N89" s="6" t="s">
        <v>39</v>
      </c>
      <c r="O89" s="6" t="s">
        <v>446</v>
      </c>
    </row>
    <row r="90" customFormat="false" ht="15" hidden="false" customHeight="false" outlineLevel="0" collapsed="false">
      <c r="A90" s="2" t="n">
        <v>89</v>
      </c>
      <c r="B90" s="3" t="s">
        <v>447</v>
      </c>
      <c r="C90" s="3" t="s">
        <v>448</v>
      </c>
      <c r="D90" s="3" t="s">
        <v>449</v>
      </c>
      <c r="E90" s="3" t="s">
        <v>87</v>
      </c>
      <c r="F90" s="3" t="s">
        <v>450</v>
      </c>
      <c r="G90" s="3" t="s">
        <v>234</v>
      </c>
      <c r="H90" s="3" t="n">
        <v>29.1</v>
      </c>
      <c r="I90" s="3" t="n">
        <v>76.8</v>
      </c>
      <c r="J90" s="3" t="s">
        <v>21</v>
      </c>
      <c r="K90" s="2" t="n">
        <v>5.5</v>
      </c>
      <c r="L90" s="2" t="s">
        <v>22</v>
      </c>
      <c r="M90" s="8" t="s">
        <v>97</v>
      </c>
      <c r="N90" s="3" t="s">
        <v>39</v>
      </c>
      <c r="O90" s="3" t="s">
        <v>451</v>
      </c>
    </row>
    <row r="91" customFormat="false" ht="15" hidden="false" customHeight="false" outlineLevel="0" collapsed="false">
      <c r="A91" s="5" t="n">
        <v>90</v>
      </c>
      <c r="B91" s="6" t="s">
        <v>452</v>
      </c>
      <c r="C91" s="6" t="s">
        <v>453</v>
      </c>
      <c r="D91" s="6" t="s">
        <v>454</v>
      </c>
      <c r="E91" s="6" t="s">
        <v>455</v>
      </c>
      <c r="F91" s="6" t="s">
        <v>44</v>
      </c>
      <c r="G91" s="6" t="s">
        <v>45</v>
      </c>
      <c r="H91" s="6" t="n">
        <v>19.08</v>
      </c>
      <c r="I91" s="6" t="n">
        <v>72.88</v>
      </c>
      <c r="J91" s="6" t="s">
        <v>21</v>
      </c>
      <c r="K91" s="5" t="n">
        <v>5.5</v>
      </c>
      <c r="L91" s="5" t="s">
        <v>130</v>
      </c>
      <c r="M91" s="7" t="s">
        <v>38</v>
      </c>
      <c r="N91" s="6" t="s">
        <v>39</v>
      </c>
      <c r="O91" s="6" t="s">
        <v>456</v>
      </c>
    </row>
    <row r="92" customFormat="false" ht="15" hidden="false" customHeight="false" outlineLevel="0" collapsed="false">
      <c r="A92" s="2" t="n">
        <v>91</v>
      </c>
      <c r="B92" s="3" t="s">
        <v>457</v>
      </c>
      <c r="C92" s="3" t="s">
        <v>458</v>
      </c>
      <c r="D92" s="3" t="s">
        <v>459</v>
      </c>
      <c r="E92" s="3" t="s">
        <v>50</v>
      </c>
      <c r="F92" s="3" t="s">
        <v>460</v>
      </c>
      <c r="G92" s="3" t="s">
        <v>461</v>
      </c>
      <c r="H92" s="3" t="n">
        <v>34.01</v>
      </c>
      <c r="I92" s="3" t="n">
        <v>71.58</v>
      </c>
      <c r="J92" s="3" t="s">
        <v>21</v>
      </c>
      <c r="K92" s="2" t="n">
        <v>5.5</v>
      </c>
      <c r="L92" s="2" t="s">
        <v>22</v>
      </c>
      <c r="M92" s="4" t="s">
        <v>23</v>
      </c>
      <c r="N92" s="3" t="s">
        <v>131</v>
      </c>
      <c r="O92" s="3" t="s">
        <v>462</v>
      </c>
    </row>
    <row r="93" customFormat="false" ht="15" hidden="false" customHeight="false" outlineLevel="0" collapsed="false">
      <c r="A93" s="5" t="n">
        <v>92</v>
      </c>
      <c r="B93" s="6" t="s">
        <v>463</v>
      </c>
      <c r="C93" s="6" t="s">
        <v>464</v>
      </c>
      <c r="D93" s="6" t="s">
        <v>465</v>
      </c>
      <c r="E93" s="6" t="s">
        <v>319</v>
      </c>
      <c r="F93" s="6" t="s">
        <v>466</v>
      </c>
      <c r="G93" s="6" t="s">
        <v>467</v>
      </c>
      <c r="H93" s="6" t="n">
        <v>32.26</v>
      </c>
      <c r="I93" s="6" t="n">
        <v>75.16</v>
      </c>
      <c r="J93" s="6" t="s">
        <v>21</v>
      </c>
      <c r="K93" s="5" t="n">
        <v>5.5</v>
      </c>
      <c r="L93" s="5" t="s">
        <v>22</v>
      </c>
      <c r="M93" s="7" t="s">
        <v>38</v>
      </c>
      <c r="N93" s="6" t="s">
        <v>39</v>
      </c>
      <c r="O93" s="6" t="s">
        <v>468</v>
      </c>
    </row>
    <row r="94" customFormat="false" ht="15" hidden="false" customHeight="false" outlineLevel="0" collapsed="false">
      <c r="A94" s="2" t="n">
        <v>93</v>
      </c>
      <c r="B94" s="3" t="s">
        <v>469</v>
      </c>
      <c r="C94" s="3" t="s">
        <v>464</v>
      </c>
      <c r="D94" s="3" t="s">
        <v>470</v>
      </c>
      <c r="E94" s="3" t="s">
        <v>471</v>
      </c>
      <c r="F94" s="3" t="s">
        <v>460</v>
      </c>
      <c r="G94" s="3" t="s">
        <v>461</v>
      </c>
      <c r="H94" s="3" t="n">
        <v>34.01</v>
      </c>
      <c r="I94" s="3" t="n">
        <v>71.58</v>
      </c>
      <c r="J94" s="3" t="s">
        <v>21</v>
      </c>
      <c r="K94" s="2" t="n">
        <v>5.5</v>
      </c>
      <c r="L94" s="2" t="s">
        <v>22</v>
      </c>
      <c r="M94" s="7" t="s">
        <v>38</v>
      </c>
      <c r="N94" s="3" t="s">
        <v>39</v>
      </c>
      <c r="O94" s="3" t="s">
        <v>472</v>
      </c>
    </row>
    <row r="95" customFormat="false" ht="15" hidden="false" customHeight="false" outlineLevel="0" collapsed="false">
      <c r="A95" s="5" t="n">
        <v>94</v>
      </c>
      <c r="B95" s="6" t="s">
        <v>473</v>
      </c>
      <c r="C95" s="6" t="s">
        <v>474</v>
      </c>
      <c r="D95" s="6" t="s">
        <v>475</v>
      </c>
      <c r="E95" s="6" t="s">
        <v>476</v>
      </c>
      <c r="F95" s="6" t="s">
        <v>477</v>
      </c>
      <c r="G95" s="6" t="s">
        <v>79</v>
      </c>
      <c r="H95" s="6" t="n">
        <v>10.77</v>
      </c>
      <c r="I95" s="6" t="n">
        <v>79.13</v>
      </c>
      <c r="J95" s="6" t="s">
        <v>21</v>
      </c>
      <c r="K95" s="5" t="n">
        <v>5.5</v>
      </c>
      <c r="L95" s="5" t="s">
        <v>130</v>
      </c>
      <c r="M95" s="7" t="s">
        <v>38</v>
      </c>
      <c r="N95" s="6" t="s">
        <v>39</v>
      </c>
      <c r="O95" s="6" t="s">
        <v>478</v>
      </c>
    </row>
    <row r="96" customFormat="false" ht="15" hidden="false" customHeight="false" outlineLevel="0" collapsed="false">
      <c r="A96" s="2" t="n">
        <v>95</v>
      </c>
      <c r="B96" s="3" t="s">
        <v>479</v>
      </c>
      <c r="C96" s="3" t="s">
        <v>480</v>
      </c>
      <c r="D96" s="3" t="s">
        <v>481</v>
      </c>
      <c r="E96" s="3" t="s">
        <v>482</v>
      </c>
      <c r="F96" s="3" t="s">
        <v>483</v>
      </c>
      <c r="G96" s="3" t="s">
        <v>79</v>
      </c>
      <c r="H96" s="3" t="n">
        <v>9.45</v>
      </c>
      <c r="I96" s="3" t="n">
        <v>77.8</v>
      </c>
      <c r="J96" s="3" t="s">
        <v>21</v>
      </c>
      <c r="K96" s="2" t="n">
        <v>5.5</v>
      </c>
      <c r="L96" s="2" t="s">
        <v>130</v>
      </c>
      <c r="M96" s="7" t="s">
        <v>38</v>
      </c>
      <c r="N96" s="3" t="s">
        <v>39</v>
      </c>
      <c r="O96" s="3" t="s">
        <v>484</v>
      </c>
    </row>
    <row r="97" customFormat="false" ht="15" hidden="false" customHeight="false" outlineLevel="0" collapsed="false">
      <c r="A97" s="5" t="n">
        <v>96</v>
      </c>
      <c r="B97" s="6" t="s">
        <v>485</v>
      </c>
      <c r="C97" s="6" t="s">
        <v>196</v>
      </c>
      <c r="D97" s="6" t="s">
        <v>486</v>
      </c>
      <c r="E97" s="6" t="s">
        <v>123</v>
      </c>
      <c r="F97" s="6" t="s">
        <v>487</v>
      </c>
      <c r="G97" s="6" t="s">
        <v>488</v>
      </c>
      <c r="H97" s="6" t="n">
        <v>25.95</v>
      </c>
      <c r="I97" s="6" t="n">
        <v>84.85</v>
      </c>
      <c r="J97" s="6" t="s">
        <v>21</v>
      </c>
      <c r="K97" s="5" t="n">
        <v>5.5</v>
      </c>
      <c r="L97" s="5" t="s">
        <v>22</v>
      </c>
      <c r="M97" s="7" t="s">
        <v>38</v>
      </c>
      <c r="N97" s="6" t="s">
        <v>39</v>
      </c>
      <c r="O97" s="6" t="s">
        <v>489</v>
      </c>
    </row>
    <row r="98" customFormat="false" ht="15" hidden="false" customHeight="false" outlineLevel="0" collapsed="false">
      <c r="A98" s="2" t="n">
        <v>97</v>
      </c>
      <c r="B98" s="3" t="s">
        <v>490</v>
      </c>
      <c r="C98" s="3" t="s">
        <v>491</v>
      </c>
      <c r="D98" s="3" t="s">
        <v>492</v>
      </c>
      <c r="E98" s="3" t="s">
        <v>493</v>
      </c>
      <c r="F98" s="3" t="s">
        <v>494</v>
      </c>
      <c r="G98" s="3" t="s">
        <v>79</v>
      </c>
      <c r="H98" s="3" t="n">
        <v>9.29</v>
      </c>
      <c r="I98" s="3" t="n">
        <v>79.31</v>
      </c>
      <c r="J98" s="3" t="s">
        <v>21</v>
      </c>
      <c r="K98" s="2" t="n">
        <v>5.5</v>
      </c>
      <c r="L98" s="2" t="s">
        <v>22</v>
      </c>
      <c r="M98" s="7" t="s">
        <v>38</v>
      </c>
      <c r="N98" s="3" t="s">
        <v>51</v>
      </c>
      <c r="O98" s="3" t="s">
        <v>495</v>
      </c>
    </row>
    <row r="99" customFormat="false" ht="15" hidden="false" customHeight="false" outlineLevel="0" collapsed="false">
      <c r="A99" s="5" t="n">
        <v>98</v>
      </c>
      <c r="B99" s="6" t="s">
        <v>496</v>
      </c>
      <c r="C99" s="6" t="s">
        <v>497</v>
      </c>
      <c r="D99" s="6" t="s">
        <v>498</v>
      </c>
      <c r="E99" s="6" t="s">
        <v>102</v>
      </c>
      <c r="F99" s="6" t="s">
        <v>499</v>
      </c>
      <c r="G99" s="6" t="s">
        <v>279</v>
      </c>
      <c r="H99" s="6" t="n">
        <v>23.68</v>
      </c>
      <c r="I99" s="6" t="n">
        <v>87.69</v>
      </c>
      <c r="J99" s="6" t="s">
        <v>21</v>
      </c>
      <c r="K99" s="5" t="n">
        <v>5.5</v>
      </c>
      <c r="L99" s="5" t="s">
        <v>22</v>
      </c>
      <c r="M99" s="8" t="s">
        <v>97</v>
      </c>
      <c r="N99" s="6" t="s">
        <v>39</v>
      </c>
      <c r="O99" s="6" t="s">
        <v>500</v>
      </c>
    </row>
    <row r="100" customFormat="false" ht="15" hidden="false" customHeight="false" outlineLevel="0" collapsed="false">
      <c r="A100" s="2" t="n">
        <v>99</v>
      </c>
      <c r="B100" s="3" t="s">
        <v>501</v>
      </c>
      <c r="C100" s="3" t="s">
        <v>294</v>
      </c>
      <c r="D100" s="3" t="s">
        <v>502</v>
      </c>
      <c r="E100" s="3" t="s">
        <v>102</v>
      </c>
      <c r="F100" s="3" t="s">
        <v>503</v>
      </c>
      <c r="G100" s="3" t="s">
        <v>72</v>
      </c>
      <c r="H100" s="3" t="n">
        <v>13.39</v>
      </c>
      <c r="I100" s="3" t="n">
        <v>77.87</v>
      </c>
      <c r="J100" s="3" t="s">
        <v>21</v>
      </c>
      <c r="K100" s="2" t="n">
        <v>5.5</v>
      </c>
      <c r="L100" s="2" t="s">
        <v>22</v>
      </c>
      <c r="M100" s="8" t="s">
        <v>97</v>
      </c>
      <c r="N100" s="3" t="s">
        <v>39</v>
      </c>
      <c r="O100" s="3" t="s">
        <v>504</v>
      </c>
    </row>
    <row r="101" customFormat="false" ht="15" hidden="false" customHeight="false" outlineLevel="0" collapsed="false">
      <c r="A101" s="5" t="n">
        <v>100</v>
      </c>
      <c r="B101" s="6" t="s">
        <v>505</v>
      </c>
      <c r="C101" s="6" t="s">
        <v>506</v>
      </c>
      <c r="D101" s="6" t="s">
        <v>507</v>
      </c>
      <c r="E101" s="6" t="s">
        <v>102</v>
      </c>
      <c r="F101" s="6" t="s">
        <v>508</v>
      </c>
      <c r="G101" s="6" t="s">
        <v>79</v>
      </c>
      <c r="H101" s="6" t="n">
        <v>9.93</v>
      </c>
      <c r="I101" s="6" t="n">
        <v>78.12</v>
      </c>
      <c r="J101" s="6" t="s">
        <v>21</v>
      </c>
      <c r="K101" s="5" t="n">
        <v>5.5</v>
      </c>
      <c r="L101" s="5" t="s">
        <v>22</v>
      </c>
      <c r="M101" s="8" t="s">
        <v>97</v>
      </c>
      <c r="N101" s="6" t="s">
        <v>39</v>
      </c>
      <c r="O101" s="6" t="s">
        <v>509</v>
      </c>
    </row>
  </sheetData>
  <autoFilter ref="A1:O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F00"/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9" t="s">
        <v>510</v>
      </c>
      <c r="B1" s="9" t="s">
        <v>511</v>
      </c>
    </row>
    <row r="2" customFormat="false" ht="15" hidden="false" customHeight="false" outlineLevel="0" collapsed="false">
      <c r="A2" s="10" t="s">
        <v>512</v>
      </c>
      <c r="B2" s="2" t="n">
        <f aca="false">COUNTA('Celebrity Birth Data'!B2:B200)</f>
        <v>100</v>
      </c>
    </row>
    <row r="3" customFormat="false" ht="15" hidden="false" customHeight="false" outlineLevel="0" collapsed="false">
      <c r="A3" s="10" t="s">
        <v>513</v>
      </c>
      <c r="B3" s="2" t="n">
        <f aca="false">COUNTIF('Celebrity Birth Data'!C2:C200,"Bollywood Actor")</f>
        <v>18</v>
      </c>
    </row>
    <row r="4" customFormat="false" ht="15" hidden="false" customHeight="false" outlineLevel="0" collapsed="false">
      <c r="A4" s="10" t="s">
        <v>514</v>
      </c>
      <c r="B4" s="2" t="n">
        <f aca="false">COUNTIF('Celebrity Birth Data'!C2:C200,"Bollywood Actress")</f>
        <v>15</v>
      </c>
    </row>
    <row r="5" customFormat="false" ht="15" hidden="false" customHeight="false" outlineLevel="0" collapsed="false">
      <c r="A5" s="10" t="s">
        <v>515</v>
      </c>
      <c r="B5" s="2" t="n">
        <f aca="false">COUNTIF('Celebrity Birth Data'!C2:C200,"Politician")</f>
        <v>10</v>
      </c>
    </row>
    <row r="6" customFormat="false" ht="15" hidden="false" customHeight="false" outlineLevel="0" collapsed="false">
      <c r="A6" s="10" t="s">
        <v>516</v>
      </c>
      <c r="B6" s="2" t="n">
        <f aca="false">COUNTIF('Celebrity Birth Data'!C2:C200,"Freedom Fighter")</f>
        <v>2</v>
      </c>
    </row>
    <row r="7" customFormat="false" ht="15" hidden="false" customHeight="false" outlineLevel="0" collapsed="false">
      <c r="A7" s="10" t="s">
        <v>517</v>
      </c>
      <c r="B7" s="2" t="n">
        <f aca="false">COUNTIF('Celebrity Birth Data'!C2:C200,"Cricketer")</f>
        <v>10</v>
      </c>
    </row>
    <row r="8" customFormat="false" ht="15" hidden="false" customHeight="false" outlineLevel="0" collapsed="false">
      <c r="A8" s="10" t="s">
        <v>518</v>
      </c>
      <c r="B8" s="2" t="n">
        <f aca="false">COUNTIFS('Celebrity Birth Data'!C2:C200,"Business*")</f>
        <v>6</v>
      </c>
    </row>
    <row r="9" customFormat="false" ht="15" hidden="false" customHeight="false" outlineLevel="0" collapsed="false">
      <c r="A9" s="10" t="s">
        <v>519</v>
      </c>
      <c r="B9" s="2" t="n">
        <f aca="false">COUNTIFS('Celebrity Birth Data'!C2:C200,"*Singer*")+COUNTIFS('Celebrity Birth Data'!C2:C200,"*Music*")</f>
        <v>5</v>
      </c>
    </row>
    <row r="10" customFormat="false" ht="15" hidden="false" customHeight="false" outlineLevel="0" collapsed="false">
      <c r="A10" s="10" t="s">
        <v>520</v>
      </c>
      <c r="B10" s="2" t="n">
        <f aca="false">COUNTIF('Celebrity Birth Data'!C2:C200,"Director")</f>
        <v>5</v>
      </c>
    </row>
    <row r="11" customFormat="false" ht="15" hidden="false" customHeight="false" outlineLevel="0" collapsed="false">
      <c r="A11" s="10" t="s">
        <v>521</v>
      </c>
      <c r="B11" s="2" t="n">
        <f aca="false">COUNTIFS('Celebrity Birth Data'!C2:C200,"*Telugu*")+COUNTIFS('Celebrity Birth Data'!C2:C200,"*Tamil*")+COUNTIFS('Celebrity Birth Data'!C2:C200,"*Malayalam*")+COUNTIFS('Celebrity Birth Data'!C2:C200,"*Kannada*")</f>
        <v>12</v>
      </c>
    </row>
    <row r="12" customFormat="false" ht="15" hidden="false" customHeight="false" outlineLevel="0" collapsed="false">
      <c r="A12" s="11"/>
      <c r="B12" s="2"/>
    </row>
    <row r="13" customFormat="false" ht="15" hidden="false" customHeight="false" outlineLevel="0" collapsed="false">
      <c r="A13" s="10" t="s">
        <v>522</v>
      </c>
      <c r="B13" s="2" t="n">
        <f aca="false">COUNTIF('Celebrity Birth Data'!M2:M200,"A")</f>
        <v>24</v>
      </c>
    </row>
    <row r="14" customFormat="false" ht="15" hidden="false" customHeight="false" outlineLevel="0" collapsed="false">
      <c r="A14" s="10" t="s">
        <v>523</v>
      </c>
      <c r="B14" s="2" t="n">
        <f aca="false">COUNTIF('Celebrity Birth Data'!M2:M200,"B")</f>
        <v>48</v>
      </c>
    </row>
    <row r="15" customFormat="false" ht="15" hidden="false" customHeight="false" outlineLevel="0" collapsed="false">
      <c r="A15" s="10" t="s">
        <v>524</v>
      </c>
      <c r="B15" s="2" t="n">
        <f aca="false">COUNTIF('Celebrity Birth Data'!M2:M200,"C")</f>
        <v>28</v>
      </c>
    </row>
    <row r="16" customFormat="false" ht="15" hidden="false" customHeight="false" outlineLevel="0" collapsed="false">
      <c r="A16" s="11"/>
      <c r="B16" s="2"/>
    </row>
    <row r="17" customFormat="false" ht="15" hidden="false" customHeight="false" outlineLevel="0" collapsed="false">
      <c r="A17" s="10" t="s">
        <v>525</v>
      </c>
      <c r="B17" s="2" t="n">
        <f aca="false">COUNTIF('Celebrity Birth Data'!L2:L200,"M")</f>
        <v>74</v>
      </c>
    </row>
    <row r="18" customFormat="false" ht="15" hidden="false" customHeight="false" outlineLevel="0" collapsed="false">
      <c r="A18" s="10" t="s">
        <v>526</v>
      </c>
      <c r="B18" s="2" t="n">
        <f aca="false">COUNTIF('Celebrity Birth Data'!L2:L200,"F")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5"/>
    <col collapsed="false" customWidth="true" hidden="false" outlineLevel="0" max="3" min="3" style="0" width="25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2" t="s">
        <v>527</v>
      </c>
      <c r="B1" s="12" t="s">
        <v>528</v>
      </c>
      <c r="C1" s="12" t="s">
        <v>529</v>
      </c>
      <c r="D1" s="12" t="s">
        <v>530</v>
      </c>
    </row>
    <row r="2" customFormat="false" ht="15" hidden="false" customHeight="false" outlineLevel="0" collapsed="false">
      <c r="A2" s="11" t="s">
        <v>39</v>
      </c>
      <c r="B2" s="11" t="s">
        <v>531</v>
      </c>
      <c r="C2" s="11" t="s">
        <v>532</v>
      </c>
      <c r="D2" s="11" t="s">
        <v>533</v>
      </c>
    </row>
    <row r="3" customFormat="false" ht="15" hidden="false" customHeight="false" outlineLevel="0" collapsed="false">
      <c r="A3" s="11" t="s">
        <v>534</v>
      </c>
      <c r="B3" s="11" t="s">
        <v>535</v>
      </c>
      <c r="C3" s="11" t="s">
        <v>536</v>
      </c>
      <c r="D3" s="11" t="s">
        <v>537</v>
      </c>
    </row>
    <row r="4" customFormat="false" ht="15" hidden="false" customHeight="false" outlineLevel="0" collapsed="false">
      <c r="A4" s="11" t="s">
        <v>538</v>
      </c>
      <c r="B4" s="11" t="s">
        <v>539</v>
      </c>
      <c r="C4" s="11" t="s">
        <v>540</v>
      </c>
      <c r="D4" s="11" t="s">
        <v>541</v>
      </c>
    </row>
    <row r="5" customFormat="false" ht="15" hidden="false" customHeight="false" outlineLevel="0" collapsed="false">
      <c r="A5" s="11" t="s">
        <v>542</v>
      </c>
      <c r="B5" s="11" t="s">
        <v>543</v>
      </c>
      <c r="C5" s="11" t="s">
        <v>544</v>
      </c>
      <c r="D5" s="11" t="s">
        <v>545</v>
      </c>
    </row>
    <row r="6" customFormat="false" ht="15" hidden="false" customHeight="false" outlineLevel="0" collapsed="false">
      <c r="A6" s="11" t="s">
        <v>546</v>
      </c>
      <c r="B6" s="11" t="s">
        <v>547</v>
      </c>
      <c r="C6" s="11" t="s">
        <v>548</v>
      </c>
      <c r="D6" s="11" t="s">
        <v>549</v>
      </c>
    </row>
    <row r="7" customFormat="false" ht="15" hidden="false" customHeight="false" outlineLevel="0" collapsed="false">
      <c r="A7" s="11"/>
      <c r="B7" s="11"/>
      <c r="C7" s="11"/>
      <c r="D7" s="11"/>
    </row>
    <row r="8" customFormat="false" ht="15" hidden="false" customHeight="false" outlineLevel="0" collapsed="false">
      <c r="A8" s="13" t="s">
        <v>550</v>
      </c>
      <c r="B8" s="11"/>
      <c r="C8" s="11"/>
      <c r="D8" s="11"/>
    </row>
    <row r="9" customFormat="false" ht="15" hidden="false" customHeight="false" outlineLevel="0" collapsed="false">
      <c r="A9" s="11" t="s">
        <v>551</v>
      </c>
      <c r="B9" s="11"/>
      <c r="C9" s="11"/>
      <c r="D9" s="11" t="s">
        <v>552</v>
      </c>
    </row>
    <row r="10" customFormat="false" ht="15" hidden="false" customHeight="false" outlineLevel="0" collapsed="false">
      <c r="A10" s="11" t="s">
        <v>553</v>
      </c>
      <c r="B10" s="11"/>
      <c r="C10" s="11"/>
      <c r="D10" s="11" t="s">
        <v>554</v>
      </c>
    </row>
    <row r="11" customFormat="false" ht="15" hidden="false" customHeight="false" outlineLevel="0" collapsed="false">
      <c r="A11" s="11" t="s">
        <v>555</v>
      </c>
      <c r="B11" s="11"/>
      <c r="C11" s="11"/>
      <c r="D11" s="11" t="s">
        <v>556</v>
      </c>
    </row>
    <row r="12" customFormat="false" ht="15" hidden="false" customHeight="false" outlineLevel="0" collapsed="false">
      <c r="A12" s="11"/>
      <c r="B12" s="11"/>
      <c r="C12" s="11"/>
      <c r="D12" s="11"/>
    </row>
    <row r="13" customFormat="false" ht="15" hidden="false" customHeight="false" outlineLevel="0" collapsed="false">
      <c r="A13" s="13" t="s">
        <v>557</v>
      </c>
      <c r="B13" s="11"/>
      <c r="C13" s="11"/>
      <c r="D13" s="11"/>
    </row>
    <row r="14" customFormat="false" ht="15" hidden="false" customHeight="false" outlineLevel="0" collapsed="false">
      <c r="A14" s="11" t="s">
        <v>558</v>
      </c>
      <c r="B14" s="11"/>
      <c r="C14" s="11"/>
      <c r="D14" s="11"/>
    </row>
    <row r="15" customFormat="false" ht="15" hidden="false" customHeight="false" outlineLevel="0" collapsed="false">
      <c r="A15" s="11" t="s">
        <v>559</v>
      </c>
      <c r="B15" s="11"/>
      <c r="C15" s="11"/>
      <c r="D15" s="11"/>
    </row>
    <row r="16" customFormat="false" ht="15" hidden="false" customHeight="false" outlineLevel="0" collapsed="false">
      <c r="A16" s="11" t="s">
        <v>560</v>
      </c>
      <c r="B16" s="11"/>
      <c r="C16" s="11"/>
      <c r="D16" s="11"/>
    </row>
    <row r="17" customFormat="false" ht="15" hidden="false" customHeight="false" outlineLevel="0" collapsed="false">
      <c r="A17" s="11" t="s">
        <v>561</v>
      </c>
      <c r="B17" s="11"/>
      <c r="C17" s="11"/>
      <c r="D17" s="11"/>
    </row>
    <row r="18" customFormat="false" ht="15" hidden="false" customHeight="false" outlineLevel="0" collapsed="false">
      <c r="A18" s="11" t="s">
        <v>562</v>
      </c>
      <c r="B18" s="11"/>
      <c r="C18" s="11"/>
      <c r="D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2026-05-22T16:55:04Z</dcterms:created>
  <dc:creator>openpyxl</dc:creator>
  <dc:description/>
  <dc:language>en-US</dc:language>
  <cp:lastModifiedBy/>
  <dcterms:modified xsi:type="dcterms:W3CDTF">2026-05-22T16:55:04Z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